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_Lectura" sheetId="1" r:id="rId1"/>
    <sheet name="1_Catalogo_Vigente" sheetId="2" r:id="rId2"/>
    <sheet name="2_Depuracion_Alcance" sheetId="3" r:id="rId3"/>
    <sheet name="3_Reasignaciones" sheetId="4" r:id="rId4"/>
    <sheet name="4_Resumen" sheetId="5" r:id="rId5"/>
    <sheet name="5_Reglas_Negocio" sheetId="6" r:id="rId6"/>
    <sheet name="6_Divisiones_v3.0" sheetId="7" r:id="rId7"/>
    <sheet name="7_Hallazgos_v3.0" sheetId="8" r:id="rId8"/>
    <sheet name="8_Pendientes" sheetId="9" r:id="rId9"/>
    <sheet name="9_Criterios_Aceptacion" sheetId="10" r:id="rId10"/>
  </sheets>
  <definedNames>
    <definedName name="_xlnm._FilterDatabase" localSheetId="1" hidden="1">'1_Catalogo_Vigente'!$A$1:$O$309</definedName>
  </definedNames>
</workbook>
</file>

<file path=xl/styles.xml><?xml version="1.0" encoding="utf-8"?>
<styleSheet xmlns="http://schemas.openxmlformats.org/spreadsheetml/2006/main">
  <fonts count="6">
    <font>
      <sz val="10"/>
      <name val="Calibri"/>
    </font>
    <font>
      <b/>
      <sz val="10"/>
      <color rgb="FFFFFFFF"/>
      <name val="Calibri"/>
    </font>
    <font>
      <b/>
      <sz val="14"/>
      <name val="Calibri"/>
    </font>
    <font>
      <b/>
      <sz val="10"/>
      <name val="Calibri"/>
    </font>
    <font>
      <i/>
      <sz val="9"/>
      <color rgb="FF595959"/>
      <name val="Calibri"/>
    </font>
    <font>
      <sz val="10"/>
      <name val="Calibri"/>
    </font>
  </fonts>
  <fills count="6">
    <fill>
      <patternFill patternType="none"/>
    </fill>
    <fill>
      <patternFill patternType="gray125"/>
    </fill>
    <fill>
      <patternFill patternType="solid">
        <fgColor rgb="FF1F3864"/>
        <bgColor indexed="64"/>
      </patternFill>
    </fill>
    <fill>
      <patternFill patternType="solid">
        <fgColor rgb="FFEAF1FB"/>
        <bgColor indexed="64"/>
      </patternFill>
    </fill>
    <fill>
      <patternFill patternType="solid">
        <fgColor rgb="FFF3F9EC"/>
        <bgColor indexed="64"/>
      </patternFill>
    </fill>
    <fill>
      <patternFill patternType="solid">
        <fgColor rgb="FFFFF6E5"/>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5" fillId="0" borderId="1" xfId="0" applyBorder="1" applyAlignment="1">
      <alignment vertical="top" wrapText="1"/>
    </xf>
    <xf numFmtId="0" fontId="2" fillId="0" borderId="0" xfId="0" applyFont="1"/>
    <xf numFmtId="0" fontId="5" fillId="0" borderId="1" xfId="0" applyBorder="1" applyAlignment="1">
      <alignment horizontal="center" vertical="top"/>
    </xf>
    <xf numFmtId="0" fontId="5" fillId="3" borderId="1" xfId="0" applyFill="1" applyBorder="1" applyAlignment="1">
      <alignment vertical="top" wrapText="1"/>
    </xf>
    <xf numFmtId="0" fontId="5" fillId="4" borderId="1" xfId="0" applyFill="1" applyBorder="1" applyAlignment="1">
      <alignment vertical="top" wrapText="1"/>
    </xf>
    <xf numFmtId="0" fontId="5" fillId="5" borderId="1" xfId="0" applyFill="1" applyBorder="1" applyAlignment="1">
      <alignment vertical="top" wrapText="1"/>
    </xf>
    <xf numFmtId="0" fontId="3" fillId="0" borderId="1" xfId="0" applyFont="1" applyBorder="1" applyAlignment="1">
      <alignment vertical="top" wrapText="1"/>
    </xf>
    <xf numFmtId="0" fontId="4" fillId="0" borderId="0" xfId="0" applyFont="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sheet1.xml><?xml version="1.0" encoding="utf-8"?>
<worksheet xmlns="http://schemas.openxmlformats.org/spreadsheetml/2006/main">
  <sheetPr>
    <pageSetUpPr fitToPage="1"/>
  </sheetPr>
  <sheetViews>
    <sheetView workbookViewId="0" showGridLines="0"/>
  </sheetViews>
  <sheetFormatPr defaultRowHeight="14.5"/>
  <cols>
    <col min="1" max="1" width="26" customWidth="1"/>
    <col min="2" max="2" width="120" customWidth="1"/>
  </cols>
  <sheetData>
    <row r="1">
      <c r="A1" s="3" t="inlineStr">
        <is>
          <t xml:space="preserve">CASO 09 — MULTITIENDAS ANCOA S.A. · Licitación TFEP-01/2026</t>
        </is>
      </c>
    </row>
    <row r="2">
      <c r="A2" s="8" t="inlineStr">
        <is>
          <t xml:space="preserve">Catálogo de requerimientos — versión 3.1 (conciliado con el alcance del Subdocumento 3)</t>
        </is>
      </c>
    </row>
    <row r="3">
      <c r="A3" s="8" t="inlineStr">
        <is>
          <t xml:space="preserve">Estado</t>
        </is>
      </c>
      <c r="B3" s="2" t="inlineStr">
        <is>
          <t xml:space="preserve">Borrador por revisar (2026-10-08). Es la fuente del Anexo B del Subdocumento 3 («OnlySimpleSolutions-Subdocumento3-Anexos»). No reemplaza al archivo RequerimientosAtomizados_Depuracion_Alcance.xlsx (v3.0), que se conserva sin cambios; si ambos difieren, decide el equipo.</t>
        </is>
      </c>
    </row>
    <row r="4"/>
    <row r="5">
      <c r="A5" s="8" t="inlineStr">
        <is>
          <t xml:space="preserve">MÉTODO</t>
        </is>
      </c>
    </row>
    <row r="6">
      <c r="A6" s="8" t="inlineStr">
        <is>
          <t xml:space="preserve">Fuentes</t>
        </is>
      </c>
      <c r="B6" s="2" t="inlineStr">
        <is>
          <t xml:space="preserve">Levantamiento documental, sin entrevistas a interesados: Caso 09, Bases Administrativas y Bases Técnicas Transversales. Del Caso salen un registro de 60 reglas de negocio (hoja 5) y las 25 decisiones del numeral 16.1.</t>
        </is>
      </c>
    </row>
    <row r="7">
      <c r="A7" s="8" t="inlineStr">
        <is>
          <t xml:space="preserve">Atomización (v3.0)</t>
        </is>
      </c>
      <c r="B7" s="2" t="inlineStr">
        <is>
          <t xml:space="preserve">Cada enunciado del catálogo previo (202 RF y 54 RNF) se evaluó contra cinco reglas: conjunción, verbo único, testabilidad aislada, estructura canónica «[actor o el sistema] debe [verbo] [entidad] [condición]» y separación RF/RNF. Criterio de detención: no se divide la enumeración de valores de un mismo campo. 41 enunciados se dividieron o reclasificaron y las obligaciones de la oferta se separaron como OP.</t>
        </is>
      </c>
    </row>
    <row r="8">
      <c r="A8" s="8" t="inlineStr">
        <is>
          <t xml:space="preserve">Depuración de alcance</t>
        </is>
      </c>
      <c r="B8" s="2" t="inlineStr">
        <is>
          <t xml:space="preserve">Las 28 propuestas de la hoja 2 se decidieron con el alcance del Subdocumento 3 (exclusiones, supuestos, plan alternativo del crédito y criterios de aceptación).</t>
        </is>
      </c>
    </row>
    <row r="9">
      <c r="A9" s="8" t="inlineStr">
        <is>
          <t xml:space="preserve">Clasificación (nueva en v3.1)</t>
        </is>
      </c>
      <c r="B9" s="2" t="inlineStr">
        <is>
          <t xml:space="preserve">Cada requerimiento lleva servicio dueño del dato, etapa, prioridad MoSCoW (alta o media) y ámbito. La etapa es la del servicio. Alta: servicio de la Etapa 1, todo RNF, toda OP y lo que sostiene una restricción no negociable. Media: servicio de la Etapa 2.</t>
        </is>
      </c>
    </row>
    <row r="10">
      <c r="A10" s="8" t="inlineStr">
        <is>
          <t xml:space="preserve">Tipos</t>
        </is>
      </c>
      <c r="B10" s="2" t="inlineStr">
        <is>
          <t xml:space="preserve">RF: lo que el sistema hace. RNF: cuán bien lo hace, con umbral o criterio y método de verificación. OP: obligación de la oferta que no se prueba como función del software.</t>
        </is>
      </c>
    </row>
    <row r="11">
      <c r="A11" s="8" t="inlineStr">
        <is>
          <t xml:space="preserve">Colores de la hoja 1</t>
        </is>
      </c>
      <c r="B11" s="2" t="inlineStr">
        <is>
          <t xml:space="preserve">Azul claro: RF. Verde claro: RNF. Naranja claro: OP.</t>
        </is>
      </c>
    </row>
    <row r="12"/>
    <row r="13">
      <c r="A13" s="8" t="inlineStr">
        <is>
          <t xml:space="preserve">RESULTADO</t>
        </is>
      </c>
    </row>
    <row r="14">
      <c r="A14" s="8" t="inlineStr">
        <is>
          <t xml:space="preserve">Catálogo previo (v3.0)</t>
        </is>
      </c>
      <c r="B14" s="2" t="inlineStr">
        <is>
          <t xml:space="preserve">307 filas: 223 RF, 75 RNF y 9 OP. Las cifras 226, 76 y 311 de la hoja 0_Lectura de la v3.0 estaban desactualizadas.</t>
        </is>
      </c>
    </row>
    <row r="15">
      <c r="A15" s="8" t="inlineStr">
        <is>
          <t xml:space="preserve">Tras la depuración</t>
        </is>
      </c>
      <c r="B15" s="2" t="inlineStr">
        <is>
          <t xml:space="preserve">303 filas: se elimina RF-027 y se reclasifican RNF-61, RNF-62 y RNF-63 como criterios de aceptación.</t>
        </is>
      </c>
    </row>
    <row r="16">
      <c r="A16" s="8" t="inlineStr">
        <is>
          <t xml:space="preserve">Vigente en v3.1</t>
        </is>
      </c>
      <c r="B16" s="2" t="inlineStr">
        <is>
          <t xml:space="preserve">308 filas: 227 RF, 72 RNF y 9 OP. Incluye cinco RF nuevos para el servicio de clientes Retail (RF-227 a RF-231).</t>
        </is>
      </c>
    </row>
    <row r="17"/>
    <row r="18">
      <c r="A18" s="8" t="inlineStr">
        <is>
          <t xml:space="preserve">CAMBIOS RESPECTO DE LA v3.0</t>
        </is>
      </c>
    </row>
    <row r="19">
      <c r="A19" s="8" t="inlineStr">
        <is>
          <t xml:space="preserve">Eliminado</t>
        </is>
      </c>
      <c r="B19" s="2" t="inlineStr">
        <is>
          <t xml:space="preserve">RF-027 (presupone etiquetas electrónicas, excluidas por EXC-02).</t>
        </is>
      </c>
    </row>
    <row r="20">
      <c r="A20" s="8" t="inlineStr">
        <is>
          <t xml:space="preserve">Reclasificados</t>
        </is>
      </c>
      <c r="B20" s="2" t="inlineStr">
        <is>
          <t xml:space="preserve">RNF-61, RNF-62 y RNF-63 pasan a criterios de aceptación del capítulo 18 (subsección 3.2.5).</t>
        </is>
      </c>
    </row>
    <row r="21">
      <c r="A21" s="8" t="inlineStr">
        <is>
          <t xml:space="preserve">Agregados</t>
        </is>
      </c>
      <c r="B21" s="2" t="inlineStr">
        <is>
          <t xml:space="preserve">RF-227 a RF-231, propuestos para el servicio de clientes Retail, que no tenía requerimientos. Por validar con el cliente al inicio del proyecto.</t>
        </is>
      </c>
    </row>
    <row r="22">
      <c r="A22" s="8" t="inlineStr">
        <is>
          <t xml:space="preserve">Autonomía sin enlace</t>
        </is>
      </c>
      <c r="B22" s="2" t="inlineStr">
        <is>
          <t xml:space="preserve">RNF-24, RNF-25, RNF-26 y RNF-28 quedan en 24 horas (Bases Técnicas Transversales RT-03.10 y art. 16.4 de las Bases Administrativas).</t>
        </is>
      </c>
    </row>
    <row r="23">
      <c r="A23" s="8" t="inlineStr">
        <is>
          <t xml:space="preserve">Reasignaciones</t>
        </is>
      </c>
      <c r="B23" s="2" t="inlineStr">
        <is>
          <t xml:space="preserve">Ver hoja 3: 18 requerimientos cambian de servicio, etapa o prioridad. 10 RNF pasan a la Etapa 2 por el servicio que miden.</t>
        </is>
      </c>
    </row>
    <row r="24">
      <c r="A24" s="8" t="inlineStr">
        <is>
          <t xml:space="preserve">Reglas propuestas</t>
        </is>
      </c>
      <c r="B24" s="2" t="inlineStr">
        <is>
          <t xml:space="preserve">Las cinco reglas citadas como «propuesta» (RN-07, RN-42, RN-43, RN-44, RN-45) se renombran RN-P01 a RN-P05 porque colisionaban con reglas definidas.</t>
        </is>
      </c>
    </row>
    <row r="25">
      <c r="A25" s="8" t="inlineStr">
        <is>
          <t xml:space="preserve">Pendientes</t>
        </is>
      </c>
      <c r="B25" s="2" t="inlineStr">
        <is>
          <t xml:space="preserve">Ver hoja 8.</t>
        </is>
      </c>
    </row>
  </sheetData>
  <pageMargins left="0.5" right="0.5" top="0.6" bottom="0.6" header="0.3" footer="0.3"/>
  <pageSetup orientation="landscape" fitToWidth="1" fitToHeight="0"/>
</worksheet>
</file>

<file path=xl/worksheets/sheet2.xml><?xml version="1.0" encoding="utf-8"?>
<worksheet xmlns="http://schemas.openxmlformats.org/spreadsheetml/2006/main">
  <sheetPr>
    <pageSetUpPr fitToPage="1"/>
  </sheetPr>
  <sheetViews>
    <sheetView workbookViewId="0" showGridLines="0">
      <pane xSplit="1" ySplit="1" topLeftCell="B2" activePane="bottomRight" state="frozen"/>
    </sheetView>
  </sheetViews>
  <sheetFormatPr defaultRowHeight="14.5"/>
  <cols>
    <col min="1" max="1" width="9" customWidth="1"/>
    <col min="2" max="2" width="6" customWidth="1"/>
    <col min="3" max="3" width="62" customWidth="1"/>
    <col min="4" max="4" width="9" customWidth="1"/>
    <col min="5" max="5" width="28" customWidth="1"/>
    <col min="6" max="6" width="14" customWidth="1"/>
    <col min="7" max="7" width="14" customWidth="1"/>
    <col min="8" max="8" width="9" customWidth="1"/>
    <col min="9" max="9" width="14" customWidth="1"/>
    <col min="10" max="10" width="38" customWidth="1"/>
    <col min="11" max="11" width="38" customWidth="1"/>
    <col min="12" max="12" width="16" customWidth="1"/>
    <col min="13" max="13" width="52" customWidth="1"/>
    <col min="14" max="14" width="12" customWidth="1"/>
    <col min="15" max="15" width="12" customWidth="1"/>
  </cols>
  <sheetData>
    <row r="1" ht="32" customHeight="1">
      <c r="A1" s="1" t="inlineStr">
        <is>
          <t xml:space="preserve">ID</t>
        </is>
      </c>
      <c r="B1" s="1" t="inlineStr">
        <is>
          <t xml:space="preserve">Tipo</t>
        </is>
      </c>
      <c r="C1" s="1" t="inlineStr">
        <is>
          <t xml:space="preserve">Requerimiento</t>
        </is>
      </c>
      <c r="D1" s="1" t="inlineStr">
        <is>
          <t xml:space="preserve">Código</t>
        </is>
      </c>
      <c r="E1" s="1" t="inlineStr">
        <is>
          <t xml:space="preserve">Servicio</t>
        </is>
      </c>
      <c r="F1" s="1" t="inlineStr">
        <is>
          <t xml:space="preserve">Frente</t>
        </is>
      </c>
      <c r="G1" s="1" t="inlineStr">
        <is>
          <t xml:space="preserve">Etapa</t>
        </is>
      </c>
      <c r="H1" s="1" t="inlineStr">
        <is>
          <t xml:space="preserve">Prioridad</t>
        </is>
      </c>
      <c r="I1" s="1" t="inlineStr">
        <is>
          <t xml:space="preserve">Ámbito</t>
        </is>
      </c>
      <c r="J1" s="1" t="inlineStr">
        <is>
          <t xml:space="preserve">Umbral o criterio</t>
        </is>
      </c>
      <c r="K1" s="1" t="inlineStr">
        <is>
          <t xml:space="preserve">Método de verificación</t>
        </is>
      </c>
      <c r="L1" s="1" t="inlineStr">
        <is>
          <t xml:space="preserve">RN vinculada</t>
        </is>
      </c>
      <c r="M1" s="1" t="inlineStr">
        <is>
          <t xml:space="preserve">Nota</t>
        </is>
      </c>
      <c r="N1" s="1" t="inlineStr">
        <is>
          <t xml:space="preserve">ID de origen</t>
        </is>
      </c>
      <c r="O1" s="1" t="inlineStr">
        <is>
          <t xml:space="preserve">ID anterior (v3.0)</t>
        </is>
      </c>
    </row>
    <row r="2">
      <c r="A2" s="5" t="inlineStr">
        <is>
          <t xml:space="preserve">RF-001</t>
        </is>
      </c>
      <c r="B2" s="4" t="inlineStr">
        <is>
          <t xml:space="preserve">RF</t>
        </is>
      </c>
      <c r="C2" s="5" t="inlineStr">
        <is>
          <t xml:space="preserve">El sistema deberá permitir la venta física de la unidad aunque exista una reserva temporal activa en el canal digital.</t>
        </is>
      </c>
      <c r="D2" s="5" t="inlineStr">
        <is>
          <t xml:space="preserve">R:V-02</t>
        </is>
      </c>
      <c r="E2" s="5" t="inlineStr">
        <is>
          <t xml:space="preserve">Servicio de ventas</t>
        </is>
      </c>
      <c r="F2" s="5" t="inlineStr">
        <is>
          <t xml:space="preserve">Retail</t>
        </is>
      </c>
      <c r="G2" s="4" t="inlineStr">
        <is>
          <t xml:space="preserve">1</t>
        </is>
      </c>
      <c r="H2" s="4" t="inlineStr">
        <is>
          <t xml:space="preserve">Alta</t>
        </is>
      </c>
      <c r="I2" s="5" t="inlineStr">
        <is>
          <t xml:space="preserve">Retail</t>
        </is>
      </c>
      <c r="J2" s="5" t="inlineStr">
        <is>
          <t xml:space="preserve">—</t>
        </is>
      </c>
      <c r="K2" s="5" t="inlineStr">
        <is>
          <t xml:space="preserve">—</t>
        </is>
      </c>
      <c r="L2" s="5" t="inlineStr">
        <is>
          <t xml:space="preserve">RN-10</t>
        </is>
      </c>
      <c r="M2" s="5" t="inlineStr">
        <is>
          <t xml:space="preserve"/>
        </is>
      </c>
      <c r="N2" s="5" t="inlineStr">
        <is>
          <t xml:space="preserve">—</t>
        </is>
      </c>
      <c r="O2" s="5" t="inlineStr">
        <is>
          <t xml:space="preserve">RF-010.6</t>
        </is>
      </c>
    </row>
    <row r="3">
      <c r="A3" s="5" t="inlineStr">
        <is>
          <t xml:space="preserve">RF-002</t>
        </is>
      </c>
      <c r="B3" s="4" t="inlineStr">
        <is>
          <t xml:space="preserve">RF</t>
        </is>
      </c>
      <c r="C3" s="5" t="inlineStr">
        <is>
          <t xml:space="preserve">El sistema deberá exigir credenciales individuales al usuario antes de habilitar cualquier acción.</t>
        </is>
      </c>
      <c r="D3" s="5" t="inlineStr">
        <is>
          <t xml:space="preserve">—</t>
        </is>
      </c>
      <c r="E3" s="5" t="inlineStr">
        <is>
          <t xml:space="preserve">Base tecnológica</t>
        </is>
      </c>
      <c r="F3" s="5" t="inlineStr">
        <is>
          <t xml:space="preserve">Ambos</t>
        </is>
      </c>
      <c r="G3" s="4" t="inlineStr">
        <is>
          <t xml:space="preserve">1</t>
        </is>
      </c>
      <c r="H3" s="4" t="inlineStr">
        <is>
          <t xml:space="preserve">Alta</t>
        </is>
      </c>
      <c r="I3" s="5" t="inlineStr">
        <is>
          <t xml:space="preserve">Ambos</t>
        </is>
      </c>
      <c r="J3" s="5" t="inlineStr">
        <is>
          <t xml:space="preserve">—</t>
        </is>
      </c>
      <c r="K3" s="5" t="inlineStr">
        <is>
          <t xml:space="preserve">—</t>
        </is>
      </c>
      <c r="L3" s="5" t="inlineStr">
        <is>
          <t xml:space="preserve">RN-50, RN-52</t>
        </is>
      </c>
      <c r="M3" s="5" t="inlineStr">
        <is>
          <t xml:space="preserve"/>
        </is>
      </c>
      <c r="N3" s="5" t="inlineStr">
        <is>
          <t xml:space="preserve">—</t>
        </is>
      </c>
      <c r="O3" s="5" t="inlineStr">
        <is>
          <t xml:space="preserve">RF-044.1</t>
        </is>
      </c>
    </row>
    <row r="4">
      <c r="A4" s="5" t="inlineStr">
        <is>
          <t xml:space="preserve">RF-003</t>
        </is>
      </c>
      <c r="B4" s="4" t="inlineStr">
        <is>
          <t xml:space="preserve">RF</t>
        </is>
      </c>
      <c r="C4" s="5" t="inlineStr">
        <is>
          <t xml:space="preserve">El sistema debe impedir el acceso anónimo a una terminal.</t>
        </is>
      </c>
      <c r="D4" s="5" t="inlineStr">
        <is>
          <t xml:space="preserve">—</t>
        </is>
      </c>
      <c r="E4" s="5" t="inlineStr">
        <is>
          <t xml:space="preserve">Base tecnológica</t>
        </is>
      </c>
      <c r="F4" s="5" t="inlineStr">
        <is>
          <t xml:space="preserve">Ambos</t>
        </is>
      </c>
      <c r="G4" s="4" t="inlineStr">
        <is>
          <t xml:space="preserve">1</t>
        </is>
      </c>
      <c r="H4" s="4" t="inlineStr">
        <is>
          <t xml:space="preserve">Alta</t>
        </is>
      </c>
      <c r="I4" s="5" t="inlineStr">
        <is>
          <t xml:space="preserve">Ambos</t>
        </is>
      </c>
      <c r="J4" s="5" t="inlineStr">
        <is>
          <t xml:space="preserve">—</t>
        </is>
      </c>
      <c r="K4" s="5" t="inlineStr">
        <is>
          <t xml:space="preserve">—</t>
        </is>
      </c>
      <c r="L4" s="5" t="inlineStr">
        <is>
          <t xml:space="preserve">RN-50, RN-52</t>
        </is>
      </c>
      <c r="M4" s="5" t="inlineStr">
        <is>
          <t xml:space="preserve"/>
        </is>
      </c>
      <c r="N4" s="5" t="inlineStr">
        <is>
          <t xml:space="preserve">RF-044.2</t>
        </is>
      </c>
      <c r="O4" s="5" t="inlineStr">
        <is>
          <t xml:space="preserve">RF-044.2a</t>
        </is>
      </c>
    </row>
    <row r="5">
      <c r="A5" s="5" t="inlineStr">
        <is>
          <t xml:space="preserve">RF-004</t>
        </is>
      </c>
      <c r="B5" s="4" t="inlineStr">
        <is>
          <t xml:space="preserve">RF</t>
        </is>
      </c>
      <c r="C5" s="5" t="inlineStr">
        <is>
          <t xml:space="preserve">El sistema debe impedir el acceso mediante credencial compartida.</t>
        </is>
      </c>
      <c r="D5" s="5" t="inlineStr">
        <is>
          <t xml:space="preserve">—</t>
        </is>
      </c>
      <c r="E5" s="5" t="inlineStr">
        <is>
          <t xml:space="preserve">Base tecnológica</t>
        </is>
      </c>
      <c r="F5" s="5" t="inlineStr">
        <is>
          <t xml:space="preserve">Ambos</t>
        </is>
      </c>
      <c r="G5" s="4" t="inlineStr">
        <is>
          <t xml:space="preserve">1</t>
        </is>
      </c>
      <c r="H5" s="4" t="inlineStr">
        <is>
          <t xml:space="preserve">Alta</t>
        </is>
      </c>
      <c r="I5" s="5" t="inlineStr">
        <is>
          <t xml:space="preserve">Ambos</t>
        </is>
      </c>
      <c r="J5" s="5" t="inlineStr">
        <is>
          <t xml:space="preserve">—</t>
        </is>
      </c>
      <c r="K5" s="5" t="inlineStr">
        <is>
          <t xml:space="preserve">—</t>
        </is>
      </c>
      <c r="L5" s="5" t="inlineStr">
        <is>
          <t xml:space="preserve">RN-50, RN-52</t>
        </is>
      </c>
      <c r="M5" s="5" t="inlineStr">
        <is>
          <t xml:space="preserve"/>
        </is>
      </c>
      <c r="N5" s="5" t="inlineStr">
        <is>
          <t xml:space="preserve">RF-044.2</t>
        </is>
      </c>
      <c r="O5" s="5" t="inlineStr">
        <is>
          <t xml:space="preserve">RF-044.2b</t>
        </is>
      </c>
    </row>
    <row r="6">
      <c r="A6" s="5" t="inlineStr">
        <is>
          <t xml:space="preserve">RF-005</t>
        </is>
      </c>
      <c r="B6" s="4" t="inlineStr">
        <is>
          <t xml:space="preserve">RF</t>
        </is>
      </c>
      <c r="C6" s="5" t="inlineStr">
        <is>
          <t xml:space="preserve">El sistema deberá permitir el traspaso de sesión nominativa entre usuarios en una terminal compartida.</t>
        </is>
      </c>
      <c r="D6" s="5" t="inlineStr">
        <is>
          <t xml:space="preserve">—</t>
        </is>
      </c>
      <c r="E6" s="5" t="inlineStr">
        <is>
          <t xml:space="preserve">Base tecnológica</t>
        </is>
      </c>
      <c r="F6" s="5" t="inlineStr">
        <is>
          <t xml:space="preserve">Ambos</t>
        </is>
      </c>
      <c r="G6" s="4" t="inlineStr">
        <is>
          <t xml:space="preserve">1</t>
        </is>
      </c>
      <c r="H6" s="4" t="inlineStr">
        <is>
          <t xml:space="preserve">Alta</t>
        </is>
      </c>
      <c r="I6" s="5" t="inlineStr">
        <is>
          <t xml:space="preserve">Ambos</t>
        </is>
      </c>
      <c r="J6" s="5" t="inlineStr">
        <is>
          <t xml:space="preserve">—</t>
        </is>
      </c>
      <c r="K6" s="5" t="inlineStr">
        <is>
          <t xml:space="preserve">—</t>
        </is>
      </c>
      <c r="L6" s="5" t="inlineStr">
        <is>
          <t xml:space="preserve">RN-50</t>
        </is>
      </c>
      <c r="M6" s="5" t="inlineStr">
        <is>
          <t xml:space="preserve"/>
        </is>
      </c>
      <c r="N6" s="5" t="inlineStr">
        <is>
          <t xml:space="preserve">—</t>
        </is>
      </c>
      <c r="O6" s="5" t="inlineStr">
        <is>
          <t xml:space="preserve">RF-044.3</t>
        </is>
      </c>
    </row>
    <row r="7">
      <c r="A7" s="5" t="inlineStr">
        <is>
          <t xml:space="preserve">RF-006</t>
        </is>
      </c>
      <c r="B7" s="4" t="inlineStr">
        <is>
          <t xml:space="preserve">RF</t>
        </is>
      </c>
      <c r="C7" s="5" t="inlineStr">
        <is>
          <t xml:space="preserve">El sistema deberá cerrar automáticamente la sesión por inactividad en la terminal compartida.</t>
        </is>
      </c>
      <c r="D7" s="5" t="inlineStr">
        <is>
          <t xml:space="preserve">—</t>
        </is>
      </c>
      <c r="E7" s="5" t="inlineStr">
        <is>
          <t xml:space="preserve">Base tecnológica</t>
        </is>
      </c>
      <c r="F7" s="5" t="inlineStr">
        <is>
          <t xml:space="preserve">Ambos</t>
        </is>
      </c>
      <c r="G7" s="4" t="inlineStr">
        <is>
          <t xml:space="preserve">1</t>
        </is>
      </c>
      <c r="H7" s="4" t="inlineStr">
        <is>
          <t xml:space="preserve">Alta</t>
        </is>
      </c>
      <c r="I7" s="5" t="inlineStr">
        <is>
          <t xml:space="preserve">Ambos</t>
        </is>
      </c>
      <c r="J7" s="5" t="inlineStr">
        <is>
          <t xml:space="preserve">—</t>
        </is>
      </c>
      <c r="K7" s="5" t="inlineStr">
        <is>
          <t xml:space="preserve">—</t>
        </is>
      </c>
      <c r="L7" s="5" t="inlineStr">
        <is>
          <t xml:space="preserve">RN-50</t>
        </is>
      </c>
      <c r="M7" s="5" t="inlineStr">
        <is>
          <t xml:space="preserve"/>
        </is>
      </c>
      <c r="N7" s="5" t="inlineStr">
        <is>
          <t xml:space="preserve">—</t>
        </is>
      </c>
      <c r="O7" s="5" t="inlineStr">
        <is>
          <t xml:space="preserve">RF-044.4</t>
        </is>
      </c>
    </row>
    <row r="8">
      <c r="A8" s="5" t="inlineStr">
        <is>
          <t xml:space="preserve">RF-007</t>
        </is>
      </c>
      <c r="B8" s="4" t="inlineStr">
        <is>
          <t xml:space="preserve">RF</t>
        </is>
      </c>
      <c r="C8" s="5" t="inlineStr">
        <is>
          <t xml:space="preserve">El sistema deberá impedir la ejecución de la función de originación a un usuario sin capacitación normativa acreditada y vigente.</t>
        </is>
      </c>
      <c r="D8" s="5" t="inlineStr">
        <is>
          <t xml:space="preserve">—</t>
        </is>
      </c>
      <c r="E8" s="5" t="inlineStr">
        <is>
          <t xml:space="preserve">Base tecnológica</t>
        </is>
      </c>
      <c r="F8" s="5" t="inlineStr">
        <is>
          <t xml:space="preserve">Ambos</t>
        </is>
      </c>
      <c r="G8" s="4" t="inlineStr">
        <is>
          <t xml:space="preserve">1</t>
        </is>
      </c>
      <c r="H8" s="4" t="inlineStr">
        <is>
          <t xml:space="preserve">Alta</t>
        </is>
      </c>
      <c r="I8" s="5" t="inlineStr">
        <is>
          <t xml:space="preserve">Ambos</t>
        </is>
      </c>
      <c r="J8" s="5" t="inlineStr">
        <is>
          <t xml:space="preserve">—</t>
        </is>
      </c>
      <c r="K8" s="5" t="inlineStr">
        <is>
          <t xml:space="preserve">—</t>
        </is>
      </c>
      <c r="L8" s="5" t="inlineStr">
        <is>
          <t xml:space="preserve">RN-53</t>
        </is>
      </c>
      <c r="M8" s="5" t="inlineStr">
        <is>
          <t xml:space="preserve"/>
        </is>
      </c>
      <c r="N8" s="5" t="inlineStr">
        <is>
          <t xml:space="preserve">—</t>
        </is>
      </c>
      <c r="O8" s="5" t="inlineStr">
        <is>
          <t xml:space="preserve">RF-101</t>
        </is>
      </c>
    </row>
    <row r="9">
      <c r="A9" s="5" t="inlineStr">
        <is>
          <t xml:space="preserve">RF-008</t>
        </is>
      </c>
      <c r="B9" s="4" t="inlineStr">
        <is>
          <t xml:space="preserve">RF</t>
        </is>
      </c>
      <c r="C9" s="5" t="inlineStr">
        <is>
          <t xml:space="preserve">El sistema deberá impedir la ejecución de la función de repactación a un usuario sin capacitación normativa acreditada y vigente.</t>
        </is>
      </c>
      <c r="D9" s="5" t="inlineStr">
        <is>
          <t xml:space="preserve">—</t>
        </is>
      </c>
      <c r="E9" s="5" t="inlineStr">
        <is>
          <t xml:space="preserve">Base tecnológica</t>
        </is>
      </c>
      <c r="F9" s="5" t="inlineStr">
        <is>
          <t xml:space="preserve">Ambos</t>
        </is>
      </c>
      <c r="G9" s="4" t="inlineStr">
        <is>
          <t xml:space="preserve">1</t>
        </is>
      </c>
      <c r="H9" s="4" t="inlineStr">
        <is>
          <t xml:space="preserve">Alta</t>
        </is>
      </c>
      <c r="I9" s="5" t="inlineStr">
        <is>
          <t xml:space="preserve">Ambos</t>
        </is>
      </c>
      <c r="J9" s="5" t="inlineStr">
        <is>
          <t xml:space="preserve">—</t>
        </is>
      </c>
      <c r="K9" s="5" t="inlineStr">
        <is>
          <t xml:space="preserve">—</t>
        </is>
      </c>
      <c r="L9" s="5" t="inlineStr">
        <is>
          <t xml:space="preserve">RN-53</t>
        </is>
      </c>
      <c r="M9" s="5" t="inlineStr">
        <is>
          <t xml:space="preserve"/>
        </is>
      </c>
      <c r="N9" s="5" t="inlineStr">
        <is>
          <t xml:space="preserve">—</t>
        </is>
      </c>
      <c r="O9" s="5" t="inlineStr">
        <is>
          <t xml:space="preserve">RF-102</t>
        </is>
      </c>
    </row>
    <row r="10">
      <c r="A10" s="5" t="inlineStr">
        <is>
          <t xml:space="preserve">RF-009</t>
        </is>
      </c>
      <c r="B10" s="4" t="inlineStr">
        <is>
          <t xml:space="preserve">RF</t>
        </is>
      </c>
      <c r="C10" s="5" t="inlineStr">
        <is>
          <t xml:space="preserve">El sistema deberá revocar automáticamente la habilitación funcional del usuario al vencer su acreditación de capacitación.</t>
        </is>
      </c>
      <c r="D10" s="5" t="inlineStr">
        <is>
          <t xml:space="preserve">—</t>
        </is>
      </c>
      <c r="E10" s="5" t="inlineStr">
        <is>
          <t xml:space="preserve">Base tecnológica</t>
        </is>
      </c>
      <c r="F10" s="5" t="inlineStr">
        <is>
          <t xml:space="preserve">Ambos</t>
        </is>
      </c>
      <c r="G10" s="4" t="inlineStr">
        <is>
          <t xml:space="preserve">1</t>
        </is>
      </c>
      <c r="H10" s="4" t="inlineStr">
        <is>
          <t xml:space="preserve">Alta</t>
        </is>
      </c>
      <c r="I10" s="5" t="inlineStr">
        <is>
          <t xml:space="preserve">Ambos</t>
        </is>
      </c>
      <c r="J10" s="5" t="inlineStr">
        <is>
          <t xml:space="preserve">—</t>
        </is>
      </c>
      <c r="K10" s="5" t="inlineStr">
        <is>
          <t xml:space="preserve">—</t>
        </is>
      </c>
      <c r="L10" s="5" t="inlineStr">
        <is>
          <t xml:space="preserve">RN-53, RN-52</t>
        </is>
      </c>
      <c r="M10" s="5" t="inlineStr">
        <is>
          <t xml:space="preserve"/>
        </is>
      </c>
      <c r="N10" s="5" t="inlineStr">
        <is>
          <t xml:space="preserve">—</t>
        </is>
      </c>
      <c r="O10" s="5" t="inlineStr">
        <is>
          <t xml:space="preserve">RF-103</t>
        </is>
      </c>
    </row>
    <row r="11">
      <c r="A11" s="5" t="inlineStr">
        <is>
          <t xml:space="preserve">RF-010</t>
        </is>
      </c>
      <c r="B11" s="4" t="inlineStr">
        <is>
          <t xml:space="preserve">RF</t>
        </is>
      </c>
      <c r="C11" s="5" t="inlineStr">
        <is>
          <t xml:space="preserve">El sistema deberá permitir al proveedor patrocinar la habilitación temporal de acceso de su repositor externo, con fecha de término declarada.</t>
        </is>
      </c>
      <c r="D11" s="5" t="inlineStr">
        <is>
          <t xml:space="preserve">—</t>
        </is>
      </c>
      <c r="E11" s="5" t="inlineStr">
        <is>
          <t xml:space="preserve">Base tecnológica</t>
        </is>
      </c>
      <c r="F11" s="5" t="inlineStr">
        <is>
          <t xml:space="preserve">Ambos</t>
        </is>
      </c>
      <c r="G11" s="4" t="inlineStr">
        <is>
          <t xml:space="preserve">1</t>
        </is>
      </c>
      <c r="H11" s="4" t="inlineStr">
        <is>
          <t xml:space="preserve">Alta</t>
        </is>
      </c>
      <c r="I11" s="5" t="inlineStr">
        <is>
          <t xml:space="preserve">Ambos</t>
        </is>
      </c>
      <c r="J11" s="5" t="inlineStr">
        <is>
          <t xml:space="preserve">—</t>
        </is>
      </c>
      <c r="K11" s="5" t="inlineStr">
        <is>
          <t xml:space="preserve">—</t>
        </is>
      </c>
      <c r="L11" s="5" t="inlineStr">
        <is>
          <t xml:space="preserve">RN-51</t>
        </is>
      </c>
      <c r="M11" s="5" t="inlineStr">
        <is>
          <t xml:space="preserve"/>
        </is>
      </c>
      <c r="N11" s="5" t="inlineStr">
        <is>
          <t xml:space="preserve">—</t>
        </is>
      </c>
      <c r="O11" s="5" t="inlineStr">
        <is>
          <t xml:space="preserve">RF-115</t>
        </is>
      </c>
    </row>
    <row r="12">
      <c r="A12" s="5" t="inlineStr">
        <is>
          <t xml:space="preserve">RF-011</t>
        </is>
      </c>
      <c r="B12" s="4" t="inlineStr">
        <is>
          <t xml:space="preserve">RF</t>
        </is>
      </c>
      <c r="C12" s="5" t="inlineStr">
        <is>
          <t xml:space="preserve">El sistema deberá caducar automáticamente la habilitación de acceso del personal externo al cumplirse su vigencia.</t>
        </is>
      </c>
      <c r="D12" s="5" t="inlineStr">
        <is>
          <t xml:space="preserve">—</t>
        </is>
      </c>
      <c r="E12" s="5" t="inlineStr">
        <is>
          <t xml:space="preserve">Base tecnológica</t>
        </is>
      </c>
      <c r="F12" s="5" t="inlineStr">
        <is>
          <t xml:space="preserve">Ambos</t>
        </is>
      </c>
      <c r="G12" s="4" t="inlineStr">
        <is>
          <t xml:space="preserve">1</t>
        </is>
      </c>
      <c r="H12" s="4" t="inlineStr">
        <is>
          <t xml:space="preserve">Alta</t>
        </is>
      </c>
      <c r="I12" s="5" t="inlineStr">
        <is>
          <t xml:space="preserve">Ambos</t>
        </is>
      </c>
      <c r="J12" s="5" t="inlineStr">
        <is>
          <t xml:space="preserve">—</t>
        </is>
      </c>
      <c r="K12" s="5" t="inlineStr">
        <is>
          <t xml:space="preserve">—</t>
        </is>
      </c>
      <c r="L12" s="5" t="inlineStr">
        <is>
          <t xml:space="preserve">RN-51</t>
        </is>
      </c>
      <c r="M12" s="5" t="inlineStr">
        <is>
          <t xml:space="preserve"/>
        </is>
      </c>
      <c r="N12" s="5" t="inlineStr">
        <is>
          <t xml:space="preserve">—</t>
        </is>
      </c>
      <c r="O12" s="5" t="inlineStr">
        <is>
          <t xml:space="preserve">RF-116</t>
        </is>
      </c>
    </row>
    <row r="13">
      <c r="A13" s="5" t="inlineStr">
        <is>
          <t xml:space="preserve">RF-012</t>
        </is>
      </c>
      <c r="B13" s="4" t="inlineStr">
        <is>
          <t xml:space="preserve">RF</t>
        </is>
      </c>
      <c r="C13" s="5" t="inlineStr">
        <is>
          <t xml:space="preserve">El sistema deberá registrar de forma individualizada el acceso y la actividad del personal externo.</t>
        </is>
      </c>
      <c r="D13" s="5" t="inlineStr">
        <is>
          <t xml:space="preserve">—</t>
        </is>
      </c>
      <c r="E13" s="5" t="inlineStr">
        <is>
          <t xml:space="preserve">Base tecnológica</t>
        </is>
      </c>
      <c r="F13" s="5" t="inlineStr">
        <is>
          <t xml:space="preserve">Ambos</t>
        </is>
      </c>
      <c r="G13" s="4" t="inlineStr">
        <is>
          <t xml:space="preserve">1</t>
        </is>
      </c>
      <c r="H13" s="4" t="inlineStr">
        <is>
          <t xml:space="preserve">Alta</t>
        </is>
      </c>
      <c r="I13" s="5" t="inlineStr">
        <is>
          <t xml:space="preserve">Ambos</t>
        </is>
      </c>
      <c r="J13" s="5" t="inlineStr">
        <is>
          <t xml:space="preserve">—</t>
        </is>
      </c>
      <c r="K13" s="5" t="inlineStr">
        <is>
          <t xml:space="preserve">—</t>
        </is>
      </c>
      <c r="L13" s="5" t="inlineStr">
        <is>
          <t xml:space="preserve">RN-51</t>
        </is>
      </c>
      <c r="M13" s="5" t="inlineStr">
        <is>
          <t xml:space="preserve"/>
        </is>
      </c>
      <c r="N13" s="5" t="inlineStr">
        <is>
          <t xml:space="preserve">—</t>
        </is>
      </c>
      <c r="O13" s="5" t="inlineStr">
        <is>
          <t xml:space="preserve">RF-117</t>
        </is>
      </c>
    </row>
    <row r="14">
      <c r="A14" s="5" t="inlineStr">
        <is>
          <t xml:space="preserve">RF-013</t>
        </is>
      </c>
      <c r="B14" s="4" t="inlineStr">
        <is>
          <t xml:space="preserve">RF</t>
        </is>
      </c>
      <c r="C14" s="5" t="inlineStr">
        <is>
          <t xml:space="preserve">El sistema deberá revocar la totalidad de los accesos y credenciales del trabajador a partir del término efectivo de su vínculo.</t>
        </is>
      </c>
      <c r="D14" s="5" t="inlineStr">
        <is>
          <t xml:space="preserve">—</t>
        </is>
      </c>
      <c r="E14" s="5" t="inlineStr">
        <is>
          <t xml:space="preserve">Base tecnológica</t>
        </is>
      </c>
      <c r="F14" s="5" t="inlineStr">
        <is>
          <t xml:space="preserve">Ambos</t>
        </is>
      </c>
      <c r="G14" s="4" t="inlineStr">
        <is>
          <t xml:space="preserve">1</t>
        </is>
      </c>
      <c r="H14" s="4" t="inlineStr">
        <is>
          <t xml:space="preserve">Alta</t>
        </is>
      </c>
      <c r="I14" s="5" t="inlineStr">
        <is>
          <t xml:space="preserve">Ambos</t>
        </is>
      </c>
      <c r="J14" s="5" t="inlineStr">
        <is>
          <t xml:space="preserve">—</t>
        </is>
      </c>
      <c r="K14" s="5" t="inlineStr">
        <is>
          <t xml:space="preserve">—</t>
        </is>
      </c>
      <c r="L14" s="5" t="inlineStr">
        <is>
          <t xml:space="preserve">RN-52</t>
        </is>
      </c>
      <c r="M14" s="5" t="inlineStr">
        <is>
          <t xml:space="preserve"/>
        </is>
      </c>
      <c r="N14" s="5" t="inlineStr">
        <is>
          <t xml:space="preserve">—</t>
        </is>
      </c>
      <c r="O14" s="5" t="inlineStr">
        <is>
          <t xml:space="preserve">RF-118</t>
        </is>
      </c>
    </row>
    <row r="15">
      <c r="A15" s="5" t="inlineStr">
        <is>
          <t xml:space="preserve">RF-014</t>
        </is>
      </c>
      <c r="B15" s="4" t="inlineStr">
        <is>
          <t xml:space="preserve">RF</t>
        </is>
      </c>
      <c r="C15" s="5" t="inlineStr">
        <is>
          <t xml:space="preserve">El sistema debe conciliar los accesos vigentes contra la nómina activa.</t>
        </is>
      </c>
      <c r="D15" s="5" t="inlineStr">
        <is>
          <t xml:space="preserve">—</t>
        </is>
      </c>
      <c r="E15" s="5" t="inlineStr">
        <is>
          <t xml:space="preserve">Base tecnológica</t>
        </is>
      </c>
      <c r="F15" s="5" t="inlineStr">
        <is>
          <t xml:space="preserve">Ambos</t>
        </is>
      </c>
      <c r="G15" s="4" t="inlineStr">
        <is>
          <t xml:space="preserve">1</t>
        </is>
      </c>
      <c r="H15" s="4" t="inlineStr">
        <is>
          <t xml:space="preserve">Alta</t>
        </is>
      </c>
      <c r="I15" s="5" t="inlineStr">
        <is>
          <t xml:space="preserve">Ambos</t>
        </is>
      </c>
      <c r="J15" s="5" t="inlineStr">
        <is>
          <t xml:space="preserve">—</t>
        </is>
      </c>
      <c r="K15" s="5" t="inlineStr">
        <is>
          <t xml:space="preserve">—</t>
        </is>
      </c>
      <c r="L15" s="5" t="inlineStr">
        <is>
          <t xml:space="preserve">RN-52, RN-51</t>
        </is>
      </c>
      <c r="M15" s="5" t="inlineStr">
        <is>
          <t xml:space="preserve"/>
        </is>
      </c>
      <c r="N15" s="5" t="inlineStr">
        <is>
          <t xml:space="preserve">RF-119</t>
        </is>
      </c>
      <c r="O15" s="5" t="inlineStr">
        <is>
          <t xml:space="preserve">RF-119a</t>
        </is>
      </c>
    </row>
    <row r="16">
      <c r="A16" s="5" t="inlineStr">
        <is>
          <t xml:space="preserve">RF-015</t>
        </is>
      </c>
      <c r="B16" s="4" t="inlineStr">
        <is>
          <t xml:space="preserve">RF</t>
        </is>
      </c>
      <c r="C16" s="5" t="inlineStr">
        <is>
          <t xml:space="preserve">El sistema debe informar al oficial de seguridad los accesos huérfanos detectados en la conciliación.</t>
        </is>
      </c>
      <c r="D16" s="5" t="inlineStr">
        <is>
          <t xml:space="preserve">—</t>
        </is>
      </c>
      <c r="E16" s="5" t="inlineStr">
        <is>
          <t xml:space="preserve">Base tecnológica</t>
        </is>
      </c>
      <c r="F16" s="5" t="inlineStr">
        <is>
          <t xml:space="preserve">Ambos</t>
        </is>
      </c>
      <c r="G16" s="4" t="inlineStr">
        <is>
          <t xml:space="preserve">1</t>
        </is>
      </c>
      <c r="H16" s="4" t="inlineStr">
        <is>
          <t xml:space="preserve">Alta</t>
        </is>
      </c>
      <c r="I16" s="5" t="inlineStr">
        <is>
          <t xml:space="preserve">Ambos</t>
        </is>
      </c>
      <c r="J16" s="5" t="inlineStr">
        <is>
          <t xml:space="preserve">—</t>
        </is>
      </c>
      <c r="K16" s="5" t="inlineStr">
        <is>
          <t xml:space="preserve">—</t>
        </is>
      </c>
      <c r="L16" s="5" t="inlineStr">
        <is>
          <t xml:space="preserve">RN-52, RN-51</t>
        </is>
      </c>
      <c r="M16" s="5" t="inlineStr">
        <is>
          <t xml:space="preserve"/>
        </is>
      </c>
      <c r="N16" s="5" t="inlineStr">
        <is>
          <t xml:space="preserve">RF-119</t>
        </is>
      </c>
      <c r="O16" s="5" t="inlineStr">
        <is>
          <t xml:space="preserve">RF-119b</t>
        </is>
      </c>
    </row>
    <row r="17">
      <c r="A17" s="5" t="inlineStr">
        <is>
          <t xml:space="preserve">RF-016</t>
        </is>
      </c>
      <c r="B17" s="4" t="inlineStr">
        <is>
          <t xml:space="preserve">RF</t>
        </is>
      </c>
      <c r="C17" s="5" t="inlineStr">
        <is>
          <t xml:space="preserve">El sistema deberá propagar el cambio de precio a las 380 líneas de caja.</t>
        </is>
      </c>
      <c r="D17" s="5" t="inlineStr">
        <is>
          <t xml:space="preserve">R:M-01</t>
        </is>
      </c>
      <c r="E17" s="5" t="inlineStr">
        <is>
          <t xml:space="preserve">Servicio de oferta comercial</t>
        </is>
      </c>
      <c r="F17" s="5" t="inlineStr">
        <is>
          <t xml:space="preserve">Retail</t>
        </is>
      </c>
      <c r="G17" s="4" t="inlineStr">
        <is>
          <t xml:space="preserve">1</t>
        </is>
      </c>
      <c r="H17" s="4" t="inlineStr">
        <is>
          <t xml:space="preserve">Alta</t>
        </is>
      </c>
      <c r="I17" s="5" t="inlineStr">
        <is>
          <t xml:space="preserve">Retail</t>
        </is>
      </c>
      <c r="J17" s="5" t="inlineStr">
        <is>
          <t xml:space="preserve">—</t>
        </is>
      </c>
      <c r="K17" s="5" t="inlineStr">
        <is>
          <t xml:space="preserve">—</t>
        </is>
      </c>
      <c r="L17" s="5" t="inlineStr">
        <is>
          <t xml:space="preserve">RN-16, RN-18</t>
        </is>
      </c>
      <c r="M17" s="5" t="inlineStr">
        <is>
          <t xml:space="preserve"/>
        </is>
      </c>
      <c r="N17" s="5" t="inlineStr">
        <is>
          <t xml:space="preserve">—</t>
        </is>
      </c>
      <c r="O17" s="5" t="inlineStr">
        <is>
          <t xml:space="preserve">RF-006.1</t>
        </is>
      </c>
    </row>
    <row r="18">
      <c r="A18" s="5" t="inlineStr">
        <is>
          <t xml:space="preserve">RF-017</t>
        </is>
      </c>
      <c r="B18" s="4" t="inlineStr">
        <is>
          <t xml:space="preserve">RF</t>
        </is>
      </c>
      <c r="C18" s="5" t="inlineStr">
        <is>
          <t xml:space="preserve">El sistema deberá propagar el cambio de precio al canal digital.</t>
        </is>
      </c>
      <c r="D18" s="5" t="inlineStr">
        <is>
          <t xml:space="preserve">R:M-01</t>
        </is>
      </c>
      <c r="E18" s="5" t="inlineStr">
        <is>
          <t xml:space="preserve">Servicio de oferta comercial</t>
        </is>
      </c>
      <c r="F18" s="5" t="inlineStr">
        <is>
          <t xml:space="preserve">Retail</t>
        </is>
      </c>
      <c r="G18" s="4" t="inlineStr">
        <is>
          <t xml:space="preserve">1</t>
        </is>
      </c>
      <c r="H18" s="4" t="inlineStr">
        <is>
          <t xml:space="preserve">Alta</t>
        </is>
      </c>
      <c r="I18" s="5" t="inlineStr">
        <is>
          <t xml:space="preserve">Retail</t>
        </is>
      </c>
      <c r="J18" s="5" t="inlineStr">
        <is>
          <t xml:space="preserve">—</t>
        </is>
      </c>
      <c r="K18" s="5" t="inlineStr">
        <is>
          <t xml:space="preserve">—</t>
        </is>
      </c>
      <c r="L18" s="5" t="inlineStr">
        <is>
          <t xml:space="preserve">RN-16, RN-17</t>
        </is>
      </c>
      <c r="M18" s="5" t="inlineStr">
        <is>
          <t xml:space="preserve"/>
        </is>
      </c>
      <c r="N18" s="5" t="inlineStr">
        <is>
          <t xml:space="preserve">—</t>
        </is>
      </c>
      <c r="O18" s="5" t="inlineStr">
        <is>
          <t xml:space="preserve">RF-006.2</t>
        </is>
      </c>
    </row>
    <row r="19">
      <c r="A19" s="5" t="inlineStr">
        <is>
          <t xml:space="preserve">RF-018</t>
        </is>
      </c>
      <c r="B19" s="4" t="inlineStr">
        <is>
          <t xml:space="preserve">RF</t>
        </is>
      </c>
      <c r="C19" s="5" t="inlineStr">
        <is>
          <t xml:space="preserve">El sistema deberá propagar el cambio de precio a los puntos de exhibición física de cada tienda afectada.</t>
        </is>
      </c>
      <c r="D19" s="5" t="inlineStr">
        <is>
          <t xml:space="preserve">R:M-01</t>
        </is>
      </c>
      <c r="E19" s="5" t="inlineStr">
        <is>
          <t xml:space="preserve">Servicio de oferta comercial</t>
        </is>
      </c>
      <c r="F19" s="5" t="inlineStr">
        <is>
          <t xml:space="preserve">Retail</t>
        </is>
      </c>
      <c r="G19" s="4" t="inlineStr">
        <is>
          <t xml:space="preserve">1</t>
        </is>
      </c>
      <c r="H19" s="4" t="inlineStr">
        <is>
          <t xml:space="preserve">Alta</t>
        </is>
      </c>
      <c r="I19" s="5" t="inlineStr">
        <is>
          <t xml:space="preserve">Retail</t>
        </is>
      </c>
      <c r="J19" s="5" t="inlineStr">
        <is>
          <t xml:space="preserve">—</t>
        </is>
      </c>
      <c r="K19" s="5" t="inlineStr">
        <is>
          <t xml:space="preserve">—</t>
        </is>
      </c>
      <c r="L19" s="5" t="inlineStr">
        <is>
          <t xml:space="preserve">RN-18, RN-19</t>
        </is>
      </c>
      <c r="M19" s="5" t="inlineStr">
        <is>
          <t xml:space="preserve"/>
        </is>
      </c>
      <c r="N19" s="5" t="inlineStr">
        <is>
          <t xml:space="preserve">—</t>
        </is>
      </c>
      <c r="O19" s="5" t="inlineStr">
        <is>
          <t xml:space="preserve">RF-006.3</t>
        </is>
      </c>
    </row>
    <row r="20">
      <c r="A20" s="5" t="inlineStr">
        <is>
          <t xml:space="preserve">RF-019</t>
        </is>
      </c>
      <c r="B20" s="4" t="inlineStr">
        <is>
          <t xml:space="preserve">RF</t>
        </is>
      </c>
      <c r="C20" s="5" t="inlineStr">
        <is>
          <t xml:space="preserve">El sistema deberá permitir al reponedor registrar la referencia y la tienda de la etiqueta cambiada, con el instante del cambio.</t>
        </is>
      </c>
      <c r="D20" s="5" t="inlineStr">
        <is>
          <t xml:space="preserve">R:M-01</t>
        </is>
      </c>
      <c r="E20" s="5" t="inlineStr">
        <is>
          <t xml:space="preserve">Servicio de oferta comercial</t>
        </is>
      </c>
      <c r="F20" s="5" t="inlineStr">
        <is>
          <t xml:space="preserve">Retail</t>
        </is>
      </c>
      <c r="G20" s="4" t="inlineStr">
        <is>
          <t xml:space="preserve">1</t>
        </is>
      </c>
      <c r="H20" s="4" t="inlineStr">
        <is>
          <t xml:space="preserve">Alta</t>
        </is>
      </c>
      <c r="I20" s="5" t="inlineStr">
        <is>
          <t xml:space="preserve">Retail</t>
        </is>
      </c>
      <c r="J20" s="5" t="inlineStr">
        <is>
          <t xml:space="preserve">—</t>
        </is>
      </c>
      <c r="K20" s="5" t="inlineStr">
        <is>
          <t xml:space="preserve">—</t>
        </is>
      </c>
      <c r="L20" s="5" t="inlineStr">
        <is>
          <t xml:space="preserve">RN-19</t>
        </is>
      </c>
      <c r="M20" s="5" t="inlineStr">
        <is>
          <t xml:space="preserve"/>
        </is>
      </c>
      <c r="N20" s="5" t="inlineStr">
        <is>
          <t xml:space="preserve">—</t>
        </is>
      </c>
      <c r="O20" s="5" t="inlineStr">
        <is>
          <t xml:space="preserve">RF-007.1</t>
        </is>
      </c>
    </row>
    <row r="21">
      <c r="A21" s="5" t="inlineStr">
        <is>
          <t xml:space="preserve">RF-020</t>
        </is>
      </c>
      <c r="B21" s="4" t="inlineStr">
        <is>
          <t xml:space="preserve">RF</t>
        </is>
      </c>
      <c r="C21" s="5" t="inlineStr">
        <is>
          <t xml:space="preserve">El sistema deberá registrar la identidad individual del ejecutor del cambio de etiqueta.</t>
        </is>
      </c>
      <c r="D21" s="5" t="inlineStr">
        <is>
          <t xml:space="preserve">R:M-01</t>
        </is>
      </c>
      <c r="E21" s="5" t="inlineStr">
        <is>
          <t xml:space="preserve">Servicio de oferta comercial</t>
        </is>
      </c>
      <c r="F21" s="5" t="inlineStr">
        <is>
          <t xml:space="preserve">Retail</t>
        </is>
      </c>
      <c r="G21" s="4" t="inlineStr">
        <is>
          <t xml:space="preserve">1</t>
        </is>
      </c>
      <c r="H21" s="4" t="inlineStr">
        <is>
          <t xml:space="preserve">Alta</t>
        </is>
      </c>
      <c r="I21" s="5" t="inlineStr">
        <is>
          <t xml:space="preserve">Retail</t>
        </is>
      </c>
      <c r="J21" s="5" t="inlineStr">
        <is>
          <t xml:space="preserve">—</t>
        </is>
      </c>
      <c r="K21" s="5" t="inlineStr">
        <is>
          <t xml:space="preserve">—</t>
        </is>
      </c>
      <c r="L21" s="5" t="inlineStr">
        <is>
          <t xml:space="preserve">RN-19, RN-50</t>
        </is>
      </c>
      <c r="M21" s="5" t="inlineStr">
        <is>
          <t xml:space="preserve"/>
        </is>
      </c>
      <c r="N21" s="5" t="inlineStr">
        <is>
          <t xml:space="preserve">—</t>
        </is>
      </c>
      <c r="O21" s="5" t="inlineStr">
        <is>
          <t xml:space="preserve">RF-007.2</t>
        </is>
      </c>
    </row>
    <row r="22">
      <c r="A22" s="5" t="inlineStr">
        <is>
          <t xml:space="preserve">RF-021</t>
        </is>
      </c>
      <c r="B22" s="4" t="inlineStr">
        <is>
          <t xml:space="preserve">RF</t>
        </is>
      </c>
      <c r="C22" s="5" t="inlineStr">
        <is>
          <t xml:space="preserve">El sistema deberá permitir al ejecutivo de cumplimiento recuperar el precio publicado de una referencia para una fecha, hora y canal determinados.</t>
        </is>
      </c>
      <c r="D22" s="5" t="inlineStr">
        <is>
          <t xml:space="preserve">R:M-01</t>
        </is>
      </c>
      <c r="E22" s="5" t="inlineStr">
        <is>
          <t xml:space="preserve">Servicio de oferta comercial</t>
        </is>
      </c>
      <c r="F22" s="5" t="inlineStr">
        <is>
          <t xml:space="preserve">Retail</t>
        </is>
      </c>
      <c r="G22" s="4" t="inlineStr">
        <is>
          <t xml:space="preserve">1</t>
        </is>
      </c>
      <c r="H22" s="4" t="inlineStr">
        <is>
          <t xml:space="preserve">Alta</t>
        </is>
      </c>
      <c r="I22" s="5" t="inlineStr">
        <is>
          <t xml:space="preserve">Retail</t>
        </is>
      </c>
      <c r="J22" s="5" t="inlineStr">
        <is>
          <t xml:space="preserve">—</t>
        </is>
      </c>
      <c r="K22" s="5" t="inlineStr">
        <is>
          <t xml:space="preserve">—</t>
        </is>
      </c>
      <c r="L22" s="5" t="inlineStr">
        <is>
          <t xml:space="preserve">RN-17</t>
        </is>
      </c>
      <c r="M22" s="5" t="inlineStr">
        <is>
          <t xml:space="preserve"/>
        </is>
      </c>
      <c r="N22" s="5" t="inlineStr">
        <is>
          <t xml:space="preserve">—</t>
        </is>
      </c>
      <c r="O22" s="5" t="inlineStr">
        <is>
          <t xml:space="preserve">RF-008</t>
        </is>
      </c>
    </row>
    <row r="23">
      <c r="A23" s="5" t="inlineStr">
        <is>
          <t xml:space="preserve">RF-022</t>
        </is>
      </c>
      <c r="B23" s="4" t="inlineStr">
        <is>
          <t xml:space="preserve">RF</t>
        </is>
      </c>
      <c r="C23" s="5" t="inlineStr">
        <is>
          <t xml:space="preserve">El sistema deberá obtener el precio vigente de la referencia según el último precio propagado a la etiqueta de esa tienda en la fecha de la venta.</t>
        </is>
      </c>
      <c r="D23" s="5" t="inlineStr">
        <is>
          <t xml:space="preserve">R:M-01</t>
        </is>
      </c>
      <c r="E23" s="5" t="inlineStr">
        <is>
          <t xml:space="preserve">Servicio de oferta comercial</t>
        </is>
      </c>
      <c r="F23" s="5" t="inlineStr">
        <is>
          <t xml:space="preserve">Retail</t>
        </is>
      </c>
      <c r="G23" s="4" t="inlineStr">
        <is>
          <t xml:space="preserve">1</t>
        </is>
      </c>
      <c r="H23" s="4" t="inlineStr">
        <is>
          <t xml:space="preserve">Alta</t>
        </is>
      </c>
      <c r="I23" s="5" t="inlineStr">
        <is>
          <t xml:space="preserve">Retail</t>
        </is>
      </c>
      <c r="J23" s="5" t="inlineStr">
        <is>
          <t xml:space="preserve">—</t>
        </is>
      </c>
      <c r="K23" s="5" t="inlineStr">
        <is>
          <t xml:space="preserve">—</t>
        </is>
      </c>
      <c r="L23" s="5" t="inlineStr">
        <is>
          <t xml:space="preserve">RN-16, RN-18</t>
        </is>
      </c>
      <c r="M23" s="5" t="inlineStr">
        <is>
          <t xml:space="preserve"/>
        </is>
      </c>
      <c r="N23" s="5" t="inlineStr">
        <is>
          <t xml:space="preserve">—</t>
        </is>
      </c>
      <c r="O23" s="5" t="inlineStr">
        <is>
          <t xml:space="preserve">RF-009.1</t>
        </is>
      </c>
    </row>
    <row r="24">
      <c r="A24" s="5" t="inlineStr">
        <is>
          <t xml:space="preserve">RF-023</t>
        </is>
      </c>
      <c r="B24" s="4" t="inlineStr">
        <is>
          <t xml:space="preserve">RF</t>
        </is>
      </c>
      <c r="C24" s="5" t="inlineStr">
        <is>
          <t xml:space="preserve">El sistema deberá cobrar el menor de ambos precios para el consumidor.</t>
        </is>
      </c>
      <c r="D24" s="5" t="inlineStr">
        <is>
          <t xml:space="preserve">R:M-01</t>
        </is>
      </c>
      <c r="E24" s="5" t="inlineStr">
        <is>
          <t xml:space="preserve">Servicio de oferta comercial</t>
        </is>
      </c>
      <c r="F24" s="5" t="inlineStr">
        <is>
          <t xml:space="preserve">Retail</t>
        </is>
      </c>
      <c r="G24" s="4" t="inlineStr">
        <is>
          <t xml:space="preserve">1</t>
        </is>
      </c>
      <c r="H24" s="4" t="inlineStr">
        <is>
          <t xml:space="preserve">Alta</t>
        </is>
      </c>
      <c r="I24" s="5" t="inlineStr">
        <is>
          <t xml:space="preserve">Retail</t>
        </is>
      </c>
      <c r="J24" s="5" t="inlineStr">
        <is>
          <t xml:space="preserve">—</t>
        </is>
      </c>
      <c r="K24" s="5" t="inlineStr">
        <is>
          <t xml:space="preserve">—</t>
        </is>
      </c>
      <c r="L24" s="5" t="inlineStr">
        <is>
          <t xml:space="preserve">RN-16</t>
        </is>
      </c>
      <c r="M24" s="5" t="inlineStr">
        <is>
          <t xml:space="preserve"/>
        </is>
      </c>
      <c r="N24" s="5" t="inlineStr">
        <is>
          <t xml:space="preserve">—</t>
        </is>
      </c>
      <c r="O24" s="5" t="inlineStr">
        <is>
          <t xml:space="preserve">RF-009.2</t>
        </is>
      </c>
    </row>
    <row r="25">
      <c r="A25" s="5" t="inlineStr">
        <is>
          <t xml:space="preserve">RF-024</t>
        </is>
      </c>
      <c r="B25" s="4" t="inlineStr">
        <is>
          <t xml:space="preserve">RF</t>
        </is>
      </c>
      <c r="C25" s="5" t="inlineStr">
        <is>
          <t xml:space="preserve">El sistema deberá generar un registro de incidente de discrepancia de precio consultable.</t>
        </is>
      </c>
      <c r="D25" s="5" t="inlineStr">
        <is>
          <t xml:space="preserve">R:M-01</t>
        </is>
      </c>
      <c r="E25" s="5" t="inlineStr">
        <is>
          <t xml:space="preserve">Servicio de oferta comercial</t>
        </is>
      </c>
      <c r="F25" s="5" t="inlineStr">
        <is>
          <t xml:space="preserve">Retail</t>
        </is>
      </c>
      <c r="G25" s="4" t="inlineStr">
        <is>
          <t xml:space="preserve">1</t>
        </is>
      </c>
      <c r="H25" s="4" t="inlineStr">
        <is>
          <t xml:space="preserve">Alta</t>
        </is>
      </c>
      <c r="I25" s="5" t="inlineStr">
        <is>
          <t xml:space="preserve">Retail</t>
        </is>
      </c>
      <c r="J25" s="5" t="inlineStr">
        <is>
          <t xml:space="preserve">—</t>
        </is>
      </c>
      <c r="K25" s="5" t="inlineStr">
        <is>
          <t xml:space="preserve">—</t>
        </is>
      </c>
      <c r="L25" s="5" t="inlineStr">
        <is>
          <t xml:space="preserve">RN-16</t>
        </is>
      </c>
      <c r="M25" s="5" t="inlineStr">
        <is>
          <t xml:space="preserve"/>
        </is>
      </c>
      <c r="N25" s="5" t="inlineStr">
        <is>
          <t xml:space="preserve">—</t>
        </is>
      </c>
      <c r="O25" s="5" t="inlineStr">
        <is>
          <t xml:space="preserve">RF-009.3</t>
        </is>
      </c>
    </row>
    <row r="26">
      <c r="A26" s="7" t="inlineStr">
        <is>
          <t xml:space="preserve">OP-01</t>
        </is>
      </c>
      <c r="B26" s="4" t="inlineStr">
        <is>
          <t xml:space="preserve">OP</t>
        </is>
      </c>
      <c r="C26" s="7" t="inlineStr">
        <is>
          <t xml:space="preserve">El PROPONENTE debe especificar la alternativa de etiquetas electrónicas frente a las demás opciones de resolución de la discrepancia de precio.</t>
        </is>
      </c>
      <c r="D26" s="7" t="inlineStr">
        <is>
          <t xml:space="preserve">—</t>
        </is>
      </c>
      <c r="E26" s="7" t="inlineStr">
        <is>
          <t xml:space="preserve">Gestión del proyecto</t>
        </is>
      </c>
      <c r="F26" s="7" t="inlineStr">
        <is>
          <t xml:space="preserve">—</t>
        </is>
      </c>
      <c r="G26" s="4" t="inlineStr">
        <is>
          <t xml:space="preserve">Todo el proyecto</t>
        </is>
      </c>
      <c r="H26" s="4" t="inlineStr">
        <is>
          <t xml:space="preserve">Alta</t>
        </is>
      </c>
      <c r="I26" s="7" t="inlineStr">
        <is>
          <t xml:space="preserve">—</t>
        </is>
      </c>
      <c r="J26" s="7" t="inlineStr">
        <is>
          <t xml:space="preserve">—</t>
        </is>
      </c>
      <c r="K26" s="7" t="inlineStr">
        <is>
          <t xml:space="preserve">—</t>
        </is>
      </c>
      <c r="L26" s="7" t="inlineStr">
        <is>
          <t xml:space="preserve">RN-59</t>
        </is>
      </c>
      <c r="M26" s="7" t="inlineStr">
        <is>
          <t xml:space="preserve"/>
        </is>
      </c>
      <c r="N26" s="7" t="inlineStr">
        <is>
          <t xml:space="preserve">RF-034</t>
        </is>
      </c>
      <c r="O26" s="7" t="inlineStr">
        <is>
          <t xml:space="preserve">OP-01</t>
        </is>
      </c>
    </row>
    <row r="27">
      <c r="A27" s="7" t="inlineStr">
        <is>
          <t xml:space="preserve">OP-02</t>
        </is>
      </c>
      <c r="B27" s="4" t="inlineStr">
        <is>
          <t xml:space="preserve">OP</t>
        </is>
      </c>
      <c r="C27" s="7" t="inlineStr">
        <is>
          <t xml:space="preserve">El PROPONENTE debe costear la alternativa de etiquetas electrónicas sin asumir su adquisición dentro del alcance.</t>
        </is>
      </c>
      <c r="D27" s="7" t="inlineStr">
        <is>
          <t xml:space="preserve">—</t>
        </is>
      </c>
      <c r="E27" s="7" t="inlineStr">
        <is>
          <t xml:space="preserve">Gestión del proyecto</t>
        </is>
      </c>
      <c r="F27" s="7" t="inlineStr">
        <is>
          <t xml:space="preserve">—</t>
        </is>
      </c>
      <c r="G27" s="4" t="inlineStr">
        <is>
          <t xml:space="preserve">Todo el proyecto</t>
        </is>
      </c>
      <c r="H27" s="4" t="inlineStr">
        <is>
          <t xml:space="preserve">Alta</t>
        </is>
      </c>
      <c r="I27" s="7" t="inlineStr">
        <is>
          <t xml:space="preserve">—</t>
        </is>
      </c>
      <c r="J27" s="7" t="inlineStr">
        <is>
          <t xml:space="preserve">—</t>
        </is>
      </c>
      <c r="K27" s="7" t="inlineStr">
        <is>
          <t xml:space="preserve">—</t>
        </is>
      </c>
      <c r="L27" s="7" t="inlineStr">
        <is>
          <t xml:space="preserve">RN-59</t>
        </is>
      </c>
      <c r="M27" s="7" t="inlineStr">
        <is>
          <t xml:space="preserve"/>
        </is>
      </c>
      <c r="N27" s="7" t="inlineStr">
        <is>
          <t xml:space="preserve">RF-034</t>
        </is>
      </c>
      <c r="O27" s="7" t="inlineStr">
        <is>
          <t xml:space="preserve">OP-02</t>
        </is>
      </c>
    </row>
    <row r="28">
      <c r="A28" s="7" t="inlineStr">
        <is>
          <t xml:space="preserve">OP-03</t>
        </is>
      </c>
      <c r="B28" s="4" t="inlineStr">
        <is>
          <t xml:space="preserve">OP</t>
        </is>
      </c>
      <c r="C28" s="7" t="inlineStr">
        <is>
          <t xml:space="preserve">El PROPONENTE debe especificar la cobertura de despliegue de las etiquetas electrónicas.</t>
        </is>
      </c>
      <c r="D28" s="7" t="inlineStr">
        <is>
          <t xml:space="preserve">—</t>
        </is>
      </c>
      <c r="E28" s="7" t="inlineStr">
        <is>
          <t xml:space="preserve">Gestión del proyecto</t>
        </is>
      </c>
      <c r="F28" s="7" t="inlineStr">
        <is>
          <t xml:space="preserve">—</t>
        </is>
      </c>
      <c r="G28" s="4" t="inlineStr">
        <is>
          <t xml:space="preserve">Todo el proyecto</t>
        </is>
      </c>
      <c r="H28" s="4" t="inlineStr">
        <is>
          <t xml:space="preserve">Alta</t>
        </is>
      </c>
      <c r="I28" s="7" t="inlineStr">
        <is>
          <t xml:space="preserve">—</t>
        </is>
      </c>
      <c r="J28" s="7" t="inlineStr">
        <is>
          <t xml:space="preserve">—</t>
        </is>
      </c>
      <c r="K28" s="7" t="inlineStr">
        <is>
          <t xml:space="preserve">—</t>
        </is>
      </c>
      <c r="L28" s="7" t="inlineStr">
        <is>
          <t xml:space="preserve">RN-59</t>
        </is>
      </c>
      <c r="M28" s="7" t="inlineStr">
        <is>
          <t xml:space="preserve"/>
        </is>
      </c>
      <c r="N28" s="7" t="inlineStr">
        <is>
          <t xml:space="preserve">RF-043</t>
        </is>
      </c>
      <c r="O28" s="7" t="inlineStr">
        <is>
          <t xml:space="preserve">OP-03</t>
        </is>
      </c>
    </row>
    <row r="29">
      <c r="A29" s="7" t="inlineStr">
        <is>
          <t xml:space="preserve">OP-04</t>
        </is>
      </c>
      <c r="B29" s="4" t="inlineStr">
        <is>
          <t xml:space="preserve">OP</t>
        </is>
      </c>
      <c r="C29" s="7" t="inlineStr">
        <is>
          <t xml:space="preserve">El PROPONENTE debe especificar el hardware requerido por la alternativa de etiquetas electrónicas.</t>
        </is>
      </c>
      <c r="D29" s="7" t="inlineStr">
        <is>
          <t xml:space="preserve">—</t>
        </is>
      </c>
      <c r="E29" s="7" t="inlineStr">
        <is>
          <t xml:space="preserve">Gestión del proyecto</t>
        </is>
      </c>
      <c r="F29" s="7" t="inlineStr">
        <is>
          <t xml:space="preserve">—</t>
        </is>
      </c>
      <c r="G29" s="4" t="inlineStr">
        <is>
          <t xml:space="preserve">Todo el proyecto</t>
        </is>
      </c>
      <c r="H29" s="4" t="inlineStr">
        <is>
          <t xml:space="preserve">Alta</t>
        </is>
      </c>
      <c r="I29" s="7" t="inlineStr">
        <is>
          <t xml:space="preserve">—</t>
        </is>
      </c>
      <c r="J29" s="7" t="inlineStr">
        <is>
          <t xml:space="preserve">—</t>
        </is>
      </c>
      <c r="K29" s="7" t="inlineStr">
        <is>
          <t xml:space="preserve">—</t>
        </is>
      </c>
      <c r="L29" s="7" t="inlineStr">
        <is>
          <t xml:space="preserve">RN-59</t>
        </is>
      </c>
      <c r="M29" s="7" t="inlineStr">
        <is>
          <t xml:space="preserve"/>
        </is>
      </c>
      <c r="N29" s="7" t="inlineStr">
        <is>
          <t xml:space="preserve">RF-043</t>
        </is>
      </c>
      <c r="O29" s="7" t="inlineStr">
        <is>
          <t xml:space="preserve">OP-04</t>
        </is>
      </c>
    </row>
    <row r="30">
      <c r="A30" s="7" t="inlineStr">
        <is>
          <t xml:space="preserve">OP-05</t>
        </is>
      </c>
      <c r="B30" s="4" t="inlineStr">
        <is>
          <t xml:space="preserve">OP</t>
        </is>
      </c>
      <c r="C30" s="7" t="inlineStr">
        <is>
          <t xml:space="preserve">El PROPONENTE debe presentar el costo de la alternativa separadamente del resto de la solución.</t>
        </is>
      </c>
      <c r="D30" s="7" t="inlineStr">
        <is>
          <t xml:space="preserve">—</t>
        </is>
      </c>
      <c r="E30" s="7" t="inlineStr">
        <is>
          <t xml:space="preserve">Gestión del proyecto</t>
        </is>
      </c>
      <c r="F30" s="7" t="inlineStr">
        <is>
          <t xml:space="preserve">—</t>
        </is>
      </c>
      <c r="G30" s="4" t="inlineStr">
        <is>
          <t xml:space="preserve">Todo el proyecto</t>
        </is>
      </c>
      <c r="H30" s="4" t="inlineStr">
        <is>
          <t xml:space="preserve">Alta</t>
        </is>
      </c>
      <c r="I30" s="7" t="inlineStr">
        <is>
          <t xml:space="preserve">—</t>
        </is>
      </c>
      <c r="J30" s="7" t="inlineStr">
        <is>
          <t xml:space="preserve">—</t>
        </is>
      </c>
      <c r="K30" s="7" t="inlineStr">
        <is>
          <t xml:space="preserve">—</t>
        </is>
      </c>
      <c r="L30" s="7" t="inlineStr">
        <is>
          <t xml:space="preserve">RN-59</t>
        </is>
      </c>
      <c r="M30" s="7" t="inlineStr">
        <is>
          <t xml:space="preserve"/>
        </is>
      </c>
      <c r="N30" s="7" t="inlineStr">
        <is>
          <t xml:space="preserve">RF-043</t>
        </is>
      </c>
      <c r="O30" s="7" t="inlineStr">
        <is>
          <t xml:space="preserve">OP-05</t>
        </is>
      </c>
    </row>
    <row r="31">
      <c r="A31" s="5" t="inlineStr">
        <is>
          <t xml:space="preserve">RF-028</t>
        </is>
      </c>
      <c r="B31" s="4" t="inlineStr">
        <is>
          <t xml:space="preserve">RF</t>
        </is>
      </c>
      <c r="C31" s="5" t="inlineStr">
        <is>
          <t xml:space="preserve">El sistema deberá impedir la venta de la referencia al precio nuevo mientras su punto de exhibición no confirme la actualización, salvo que el artículo se encuentre bloqueado para venta.</t>
        </is>
      </c>
      <c r="D31" s="5" t="inlineStr">
        <is>
          <t xml:space="preserve">R:M-01</t>
        </is>
      </c>
      <c r="E31" s="5" t="inlineStr">
        <is>
          <t xml:space="preserve">Servicio de oferta comercial</t>
        </is>
      </c>
      <c r="F31" s="5" t="inlineStr">
        <is>
          <t xml:space="preserve">Retail</t>
        </is>
      </c>
      <c r="G31" s="4" t="inlineStr">
        <is>
          <t xml:space="preserve">1</t>
        </is>
      </c>
      <c r="H31" s="4" t="inlineStr">
        <is>
          <t xml:space="preserve">Alta</t>
        </is>
      </c>
      <c r="I31" s="5" t="inlineStr">
        <is>
          <t xml:space="preserve">Retail</t>
        </is>
      </c>
      <c r="J31" s="5" t="inlineStr">
        <is>
          <t xml:space="preserve">—</t>
        </is>
      </c>
      <c r="K31" s="5" t="inlineStr">
        <is>
          <t xml:space="preserve">—</t>
        </is>
      </c>
      <c r="L31" s="5" t="inlineStr">
        <is>
          <t xml:space="preserve">RN-18, RN-16</t>
        </is>
      </c>
      <c r="M31" s="5" t="inlineStr">
        <is>
          <t xml:space="preserve"/>
        </is>
      </c>
      <c r="N31" s="5" t="inlineStr">
        <is>
          <t xml:space="preserve">—</t>
        </is>
      </c>
      <c r="O31" s="5" t="inlineStr">
        <is>
          <t xml:space="preserve">RF-064</t>
        </is>
      </c>
    </row>
    <row r="32">
      <c r="A32" s="5" t="inlineStr">
        <is>
          <t xml:space="preserve">RF-029</t>
        </is>
      </c>
      <c r="B32" s="4" t="inlineStr">
        <is>
          <t xml:space="preserve">RF</t>
        </is>
      </c>
      <c r="C32" s="5" t="inlineStr">
        <is>
          <t xml:space="preserve">El sistema deberá generar un indicador diario de puntos de exhibición desactualizados con identificación individual de cada punto.</t>
        </is>
      </c>
      <c r="D32" s="5" t="inlineStr">
        <is>
          <t xml:space="preserve">R:M-01</t>
        </is>
      </c>
      <c r="E32" s="5" t="inlineStr">
        <is>
          <t xml:space="preserve">Servicio de oferta comercial</t>
        </is>
      </c>
      <c r="F32" s="5" t="inlineStr">
        <is>
          <t xml:space="preserve">Retail</t>
        </is>
      </c>
      <c r="G32" s="4" t="inlineStr">
        <is>
          <t xml:space="preserve">1</t>
        </is>
      </c>
      <c r="H32" s="4" t="inlineStr">
        <is>
          <t xml:space="preserve">Alta</t>
        </is>
      </c>
      <c r="I32" s="5" t="inlineStr">
        <is>
          <t xml:space="preserve">Retail</t>
        </is>
      </c>
      <c r="J32" s="5" t="inlineStr">
        <is>
          <t xml:space="preserve">—</t>
        </is>
      </c>
      <c r="K32" s="5" t="inlineStr">
        <is>
          <t xml:space="preserve">—</t>
        </is>
      </c>
      <c r="L32" s="5" t="inlineStr">
        <is>
          <t xml:space="preserve">RN-18</t>
        </is>
      </c>
      <c r="M32" s="5" t="inlineStr">
        <is>
          <t xml:space="preserve"/>
        </is>
      </c>
      <c r="N32" s="5" t="inlineStr">
        <is>
          <t xml:space="preserve">—</t>
        </is>
      </c>
      <c r="O32" s="5" t="inlineStr">
        <is>
          <t xml:space="preserve">RF-065</t>
        </is>
      </c>
    </row>
    <row r="33">
      <c r="A33" s="5" t="inlineStr">
        <is>
          <t xml:space="preserve">RF-030</t>
        </is>
      </c>
      <c r="B33" s="4" t="inlineStr">
        <is>
          <t xml:space="preserve">RF</t>
        </is>
      </c>
      <c r="C33" s="5" t="inlineStr">
        <is>
          <t xml:space="preserve">El sistema deberá agrupar los cambios de precio de sala en ventanas parametrizadas fuera del horario de atención.</t>
        </is>
      </c>
      <c r="D33" s="5" t="inlineStr">
        <is>
          <t xml:space="preserve">R:M-01</t>
        </is>
      </c>
      <c r="E33" s="5" t="inlineStr">
        <is>
          <t xml:space="preserve">Servicio de oferta comercial</t>
        </is>
      </c>
      <c r="F33" s="5" t="inlineStr">
        <is>
          <t xml:space="preserve">Retail</t>
        </is>
      </c>
      <c r="G33" s="4" t="inlineStr">
        <is>
          <t xml:space="preserve">1</t>
        </is>
      </c>
      <c r="H33" s="4" t="inlineStr">
        <is>
          <t xml:space="preserve">Alta</t>
        </is>
      </c>
      <c r="I33" s="5" t="inlineStr">
        <is>
          <t xml:space="preserve">Retail</t>
        </is>
      </c>
      <c r="J33" s="5" t="inlineStr">
        <is>
          <t xml:space="preserve">—</t>
        </is>
      </c>
      <c r="K33" s="5" t="inlineStr">
        <is>
          <t xml:space="preserve">—</t>
        </is>
      </c>
      <c r="L33" s="5" t="inlineStr">
        <is>
          <t xml:space="preserve">RN-19</t>
        </is>
      </c>
      <c r="M33" s="5" t="inlineStr">
        <is>
          <t xml:space="preserve"/>
        </is>
      </c>
      <c r="N33" s="5" t="inlineStr">
        <is>
          <t xml:space="preserve">—</t>
        </is>
      </c>
      <c r="O33" s="5" t="inlineStr">
        <is>
          <t xml:space="preserve">RF-066</t>
        </is>
      </c>
    </row>
    <row r="34">
      <c r="A34" s="5" t="inlineStr">
        <is>
          <t xml:space="preserve">RF-032</t>
        </is>
      </c>
      <c r="B34" s="4" t="inlineStr">
        <is>
          <t xml:space="preserve">RF</t>
        </is>
      </c>
      <c r="C34" s="5" t="inlineStr">
        <is>
          <t xml:space="preserve">El sistema deberá evaluar la vigencia de cada promoción al instante de emisión del documento.</t>
        </is>
      </c>
      <c r="D34" s="5" t="inlineStr">
        <is>
          <t xml:space="preserve">R:M-01</t>
        </is>
      </c>
      <c r="E34" s="5" t="inlineStr">
        <is>
          <t xml:space="preserve">Servicio de oferta comercial</t>
        </is>
      </c>
      <c r="F34" s="5" t="inlineStr">
        <is>
          <t xml:space="preserve">Retail</t>
        </is>
      </c>
      <c r="G34" s="4" t="inlineStr">
        <is>
          <t xml:space="preserve">1</t>
        </is>
      </c>
      <c r="H34" s="4" t="inlineStr">
        <is>
          <t xml:space="preserve">Alta</t>
        </is>
      </c>
      <c r="I34" s="5" t="inlineStr">
        <is>
          <t xml:space="preserve">Retail</t>
        </is>
      </c>
      <c r="J34" s="5" t="inlineStr">
        <is>
          <t xml:space="preserve">—</t>
        </is>
      </c>
      <c r="K34" s="5" t="inlineStr">
        <is>
          <t xml:space="preserve">—</t>
        </is>
      </c>
      <c r="L34" s="5" t="inlineStr">
        <is>
          <t xml:space="preserve">RN-20</t>
        </is>
      </c>
      <c r="M34" s="5" t="inlineStr">
        <is>
          <t xml:space="preserve"/>
        </is>
      </c>
      <c r="N34" s="5" t="inlineStr">
        <is>
          <t xml:space="preserve">—</t>
        </is>
      </c>
      <c r="O34" s="5" t="inlineStr">
        <is>
          <t xml:space="preserve">RF-068</t>
        </is>
      </c>
    </row>
    <row r="35">
      <c r="A35" s="5" t="inlineStr">
        <is>
          <t xml:space="preserve">RF-033</t>
        </is>
      </c>
      <c r="B35" s="4" t="inlineStr">
        <is>
          <t xml:space="preserve">RF</t>
        </is>
      </c>
      <c r="C35" s="5" t="inlineStr">
        <is>
          <t xml:space="preserve">El sistema deberá evaluar la aplicabilidad de la promoción según el canal de la venta.</t>
        </is>
      </c>
      <c r="D35" s="5" t="inlineStr">
        <is>
          <t xml:space="preserve">R:M-01</t>
        </is>
      </c>
      <c r="E35" s="5" t="inlineStr">
        <is>
          <t xml:space="preserve">Servicio de oferta comercial</t>
        </is>
      </c>
      <c r="F35" s="5" t="inlineStr">
        <is>
          <t xml:space="preserve">Retail</t>
        </is>
      </c>
      <c r="G35" s="4" t="inlineStr">
        <is>
          <t xml:space="preserve">1</t>
        </is>
      </c>
      <c r="H35" s="4" t="inlineStr">
        <is>
          <t xml:space="preserve">Alta</t>
        </is>
      </c>
      <c r="I35" s="5" t="inlineStr">
        <is>
          <t xml:space="preserve">Retail</t>
        </is>
      </c>
      <c r="J35" s="5" t="inlineStr">
        <is>
          <t xml:space="preserve">—</t>
        </is>
      </c>
      <c r="K35" s="5" t="inlineStr">
        <is>
          <t xml:space="preserve">—</t>
        </is>
      </c>
      <c r="L35" s="5" t="inlineStr">
        <is>
          <t xml:space="preserve">RN-20</t>
        </is>
      </c>
      <c r="M35" s="5" t="inlineStr">
        <is>
          <t xml:space="preserve"/>
        </is>
      </c>
      <c r="N35" s="5" t="inlineStr">
        <is>
          <t xml:space="preserve">—</t>
        </is>
      </c>
      <c r="O35" s="5" t="inlineStr">
        <is>
          <t xml:space="preserve">RF-069</t>
        </is>
      </c>
    </row>
    <row r="36">
      <c r="A36" s="5" t="inlineStr">
        <is>
          <t xml:space="preserve">RF-034</t>
        </is>
      </c>
      <c r="B36" s="4" t="inlineStr">
        <is>
          <t xml:space="preserve">RF</t>
        </is>
      </c>
      <c r="C36" s="5" t="inlineStr">
        <is>
          <t xml:space="preserve">El sistema deberá evaluar la aplicabilidad de la promoción según la tienda en que se realiza la venta.</t>
        </is>
      </c>
      <c r="D36" s="5" t="inlineStr">
        <is>
          <t xml:space="preserve">R:M-01</t>
        </is>
      </c>
      <c r="E36" s="5" t="inlineStr">
        <is>
          <t xml:space="preserve">Servicio de oferta comercial</t>
        </is>
      </c>
      <c r="F36" s="5" t="inlineStr">
        <is>
          <t xml:space="preserve">Retail</t>
        </is>
      </c>
      <c r="G36" s="4" t="inlineStr">
        <is>
          <t xml:space="preserve">1</t>
        </is>
      </c>
      <c r="H36" s="4" t="inlineStr">
        <is>
          <t xml:space="preserve">Alta</t>
        </is>
      </c>
      <c r="I36" s="5" t="inlineStr">
        <is>
          <t xml:space="preserve">Retail</t>
        </is>
      </c>
      <c r="J36" s="5" t="inlineStr">
        <is>
          <t xml:space="preserve">—</t>
        </is>
      </c>
      <c r="K36" s="5" t="inlineStr">
        <is>
          <t xml:space="preserve">—</t>
        </is>
      </c>
      <c r="L36" s="5" t="inlineStr">
        <is>
          <t xml:space="preserve">RN-20</t>
        </is>
      </c>
      <c r="M36" s="5" t="inlineStr">
        <is>
          <t xml:space="preserve"/>
        </is>
      </c>
      <c r="N36" s="5" t="inlineStr">
        <is>
          <t xml:space="preserve">—</t>
        </is>
      </c>
      <c r="O36" s="5" t="inlineStr">
        <is>
          <t xml:space="preserve">RF-070</t>
        </is>
      </c>
    </row>
    <row r="37">
      <c r="A37" s="5" t="inlineStr">
        <is>
          <t xml:space="preserve">RF-035</t>
        </is>
      </c>
      <c r="B37" s="4" t="inlineStr">
        <is>
          <t xml:space="preserve">RF</t>
        </is>
      </c>
      <c r="C37" s="5" t="inlineStr">
        <is>
          <t xml:space="preserve">El sistema deberá crear una reserva temporal para la unidad agregada al carro.</t>
        </is>
      </c>
      <c r="D37" s="5" t="inlineStr">
        <is>
          <t xml:space="preserve">R:M-03</t>
        </is>
      </c>
      <c r="E37" s="5" t="inlineStr">
        <is>
          <t xml:space="preserve">Servicio de existencias</t>
        </is>
      </c>
      <c r="F37" s="5" t="inlineStr">
        <is>
          <t xml:space="preserve">Retail</t>
        </is>
      </c>
      <c r="G37" s="4" t="inlineStr">
        <is>
          <t xml:space="preserve">1</t>
        </is>
      </c>
      <c r="H37" s="4" t="inlineStr">
        <is>
          <t xml:space="preserve">Alta</t>
        </is>
      </c>
      <c r="I37" s="5" t="inlineStr">
        <is>
          <t xml:space="preserve">Retail</t>
        </is>
      </c>
      <c r="J37" s="5" t="inlineStr">
        <is>
          <t xml:space="preserve">—</t>
        </is>
      </c>
      <c r="K37" s="5" t="inlineStr">
        <is>
          <t xml:space="preserve">—</t>
        </is>
      </c>
      <c r="L37" s="5" t="inlineStr">
        <is>
          <t xml:space="preserve">RN-10</t>
        </is>
      </c>
      <c r="M37" s="5" t="inlineStr">
        <is>
          <t xml:space="preserve">La reserva es dato del servicio de existencias.</t>
        </is>
      </c>
      <c r="N37" s="5" t="inlineStr">
        <is>
          <t xml:space="preserve">—</t>
        </is>
      </c>
      <c r="O37" s="5" t="inlineStr">
        <is>
          <t xml:space="preserve">RF-010.1</t>
        </is>
      </c>
    </row>
    <row r="38">
      <c r="A38" s="5" t="inlineStr">
        <is>
          <t xml:space="preserve">RF-036</t>
        </is>
      </c>
      <c r="B38" s="4" t="inlineStr">
        <is>
          <t xml:space="preserve">RF</t>
        </is>
      </c>
      <c r="C38" s="5" t="inlineStr">
        <is>
          <t xml:space="preserve">El sistema deberá permitir parametrizar el período de vigencia de la reserva temporal.</t>
        </is>
      </c>
      <c r="D38" s="5" t="inlineStr">
        <is>
          <t xml:space="preserve">R:M-03</t>
        </is>
      </c>
      <c r="E38" s="5" t="inlineStr">
        <is>
          <t xml:space="preserve">Servicio de existencias</t>
        </is>
      </c>
      <c r="F38" s="5" t="inlineStr">
        <is>
          <t xml:space="preserve">Retail</t>
        </is>
      </c>
      <c r="G38" s="4" t="inlineStr">
        <is>
          <t xml:space="preserve">1</t>
        </is>
      </c>
      <c r="H38" s="4" t="inlineStr">
        <is>
          <t xml:space="preserve">Alta</t>
        </is>
      </c>
      <c r="I38" s="5" t="inlineStr">
        <is>
          <t xml:space="preserve">Retail</t>
        </is>
      </c>
      <c r="J38" s="5" t="inlineStr">
        <is>
          <t xml:space="preserve">—</t>
        </is>
      </c>
      <c r="K38" s="5" t="inlineStr">
        <is>
          <t xml:space="preserve">—</t>
        </is>
      </c>
      <c r="L38" s="5" t="inlineStr">
        <is>
          <t xml:space="preserve">RN-10</t>
        </is>
      </c>
      <c r="M38" s="5" t="inlineStr">
        <is>
          <t xml:space="preserve">La reserva es dato del servicio de existencias.</t>
        </is>
      </c>
      <c r="N38" s="5" t="inlineStr">
        <is>
          <t xml:space="preserve">—</t>
        </is>
      </c>
      <c r="O38" s="5" t="inlineStr">
        <is>
          <t xml:space="preserve">RF-010.2</t>
        </is>
      </c>
    </row>
    <row r="39">
      <c r="A39" s="5" t="inlineStr">
        <is>
          <t xml:space="preserve">RF-037</t>
        </is>
      </c>
      <c r="B39" s="4" t="inlineStr">
        <is>
          <t xml:space="preserve">RF</t>
        </is>
      </c>
      <c r="C39" s="5" t="inlineStr">
        <is>
          <t xml:space="preserve">El sistema deberá mantener activa la reserva mientras el cliente mantenga actividad, conforme al período parametrizado.</t>
        </is>
      </c>
      <c r="D39" s="5" t="inlineStr">
        <is>
          <t xml:space="preserve">R:M-03</t>
        </is>
      </c>
      <c r="E39" s="5" t="inlineStr">
        <is>
          <t xml:space="preserve">Servicio de existencias</t>
        </is>
      </c>
      <c r="F39" s="5" t="inlineStr">
        <is>
          <t xml:space="preserve">Retail</t>
        </is>
      </c>
      <c r="G39" s="4" t="inlineStr">
        <is>
          <t xml:space="preserve">1</t>
        </is>
      </c>
      <c r="H39" s="4" t="inlineStr">
        <is>
          <t xml:space="preserve">Alta</t>
        </is>
      </c>
      <c r="I39" s="5" t="inlineStr">
        <is>
          <t xml:space="preserve">Retail</t>
        </is>
      </c>
      <c r="J39" s="5" t="inlineStr">
        <is>
          <t xml:space="preserve">—</t>
        </is>
      </c>
      <c r="K39" s="5" t="inlineStr">
        <is>
          <t xml:space="preserve">—</t>
        </is>
      </c>
      <c r="L39" s="5" t="inlineStr">
        <is>
          <t xml:space="preserve">RN-10</t>
        </is>
      </c>
      <c r="M39" s="5" t="inlineStr">
        <is>
          <t xml:space="preserve">La reserva es dato del servicio de existencias.</t>
        </is>
      </c>
      <c r="N39" s="5" t="inlineStr">
        <is>
          <t xml:space="preserve">—</t>
        </is>
      </c>
      <c r="O39" s="5" t="inlineStr">
        <is>
          <t xml:space="preserve">RF-010.3</t>
        </is>
      </c>
    </row>
    <row r="40">
      <c r="A40" s="5" t="inlineStr">
        <is>
          <t xml:space="preserve">RF-038</t>
        </is>
      </c>
      <c r="B40" s="4" t="inlineStr">
        <is>
          <t xml:space="preserve">RF</t>
        </is>
      </c>
      <c r="C40" s="5" t="inlineStr">
        <is>
          <t xml:space="preserve">El sistema deberá impedir que una misma unidad sea comprometida simultáneamente en más de una operación de venta digital.</t>
        </is>
      </c>
      <c r="D40" s="5" t="inlineStr">
        <is>
          <t xml:space="preserve">R:M-03</t>
        </is>
      </c>
      <c r="E40" s="5" t="inlineStr">
        <is>
          <t xml:space="preserve">Servicio de existencias</t>
        </is>
      </c>
      <c r="F40" s="5" t="inlineStr">
        <is>
          <t xml:space="preserve">Retail</t>
        </is>
      </c>
      <c r="G40" s="4" t="inlineStr">
        <is>
          <t xml:space="preserve">1</t>
        </is>
      </c>
      <c r="H40" s="4" t="inlineStr">
        <is>
          <t xml:space="preserve">Alta</t>
        </is>
      </c>
      <c r="I40" s="5" t="inlineStr">
        <is>
          <t xml:space="preserve">Retail</t>
        </is>
      </c>
      <c r="J40" s="5" t="inlineStr">
        <is>
          <t xml:space="preserve">—</t>
        </is>
      </c>
      <c r="K40" s="5" t="inlineStr">
        <is>
          <t xml:space="preserve">—</t>
        </is>
      </c>
      <c r="L40" s="5" t="inlineStr">
        <is>
          <t xml:space="preserve">RN-10, RN-08</t>
        </is>
      </c>
      <c r="M40" s="5" t="inlineStr">
        <is>
          <t xml:space="preserve">Impedir el doble compromiso de una unidad es parte de la reserva, dato del servicio de existencias.</t>
        </is>
      </c>
      <c r="N40" s="5" t="inlineStr">
        <is>
          <t xml:space="preserve">—</t>
        </is>
      </c>
      <c r="O40" s="5" t="inlineStr">
        <is>
          <t xml:space="preserve">RF-010.4</t>
        </is>
      </c>
    </row>
    <row r="41">
      <c r="A41" s="5" t="inlineStr">
        <is>
          <t xml:space="preserve">RF-039</t>
        </is>
      </c>
      <c r="B41" s="4" t="inlineStr">
        <is>
          <t xml:space="preserve">RF</t>
        </is>
      </c>
      <c r="C41" s="5" t="inlineStr">
        <is>
          <t xml:space="preserve">El sistema debe liberar la reserva temporal al expirar su período de vigencia.</t>
        </is>
      </c>
      <c r="D41" s="5" t="inlineStr">
        <is>
          <t xml:space="preserve">R:M-03</t>
        </is>
      </c>
      <c r="E41" s="5" t="inlineStr">
        <is>
          <t xml:space="preserve">Servicio de existencias</t>
        </is>
      </c>
      <c r="F41" s="5" t="inlineStr">
        <is>
          <t xml:space="preserve">Retail</t>
        </is>
      </c>
      <c r="G41" s="4" t="inlineStr">
        <is>
          <t xml:space="preserve">1</t>
        </is>
      </c>
      <c r="H41" s="4" t="inlineStr">
        <is>
          <t xml:space="preserve">Alta</t>
        </is>
      </c>
      <c r="I41" s="5" t="inlineStr">
        <is>
          <t xml:space="preserve">Retail</t>
        </is>
      </c>
      <c r="J41" s="5" t="inlineStr">
        <is>
          <t xml:space="preserve">—</t>
        </is>
      </c>
      <c r="K41" s="5" t="inlineStr">
        <is>
          <t xml:space="preserve">—</t>
        </is>
      </c>
      <c r="L41" s="5" t="inlineStr">
        <is>
          <t xml:space="preserve">RN-10</t>
        </is>
      </c>
      <c r="M41" s="5" t="inlineStr">
        <is>
          <t xml:space="preserve">La reserva es dato del servicio de existencias.</t>
        </is>
      </c>
      <c r="N41" s="5" t="inlineStr">
        <is>
          <t xml:space="preserve">RF-010.5</t>
        </is>
      </c>
      <c r="O41" s="5" t="inlineStr">
        <is>
          <t xml:space="preserve">RF-010.5a</t>
        </is>
      </c>
    </row>
    <row r="42">
      <c r="A42" s="5" t="inlineStr">
        <is>
          <t xml:space="preserve">RF-040</t>
        </is>
      </c>
      <c r="B42" s="4" t="inlineStr">
        <is>
          <t xml:space="preserve">RF</t>
        </is>
      </c>
      <c r="C42" s="5" t="inlineStr">
        <is>
          <t xml:space="preserve">El sistema debe devolver la unidad liberada al disponible para vender.</t>
        </is>
      </c>
      <c r="D42" s="5" t="inlineStr">
        <is>
          <t xml:space="preserve">R:M-03</t>
        </is>
      </c>
      <c r="E42" s="5" t="inlineStr">
        <is>
          <t xml:space="preserve">Servicio de existencias</t>
        </is>
      </c>
      <c r="F42" s="5" t="inlineStr">
        <is>
          <t xml:space="preserve">Retail</t>
        </is>
      </c>
      <c r="G42" s="4" t="inlineStr">
        <is>
          <t xml:space="preserve">1</t>
        </is>
      </c>
      <c r="H42" s="4" t="inlineStr">
        <is>
          <t xml:space="preserve">Alta</t>
        </is>
      </c>
      <c r="I42" s="5" t="inlineStr">
        <is>
          <t xml:space="preserve">Retail</t>
        </is>
      </c>
      <c r="J42" s="5" t="inlineStr">
        <is>
          <t xml:space="preserve">—</t>
        </is>
      </c>
      <c r="K42" s="5" t="inlineStr">
        <is>
          <t xml:space="preserve">—</t>
        </is>
      </c>
      <c r="L42" s="5" t="inlineStr">
        <is>
          <t xml:space="preserve">RN-10</t>
        </is>
      </c>
      <c r="M42" s="5" t="inlineStr">
        <is>
          <t xml:space="preserve">La reserva es dato del servicio de existencias.</t>
        </is>
      </c>
      <c r="N42" s="5" t="inlineStr">
        <is>
          <t xml:space="preserve">RF-010.5</t>
        </is>
      </c>
      <c r="O42" s="5" t="inlineStr">
        <is>
          <t xml:space="preserve">RF-010.5b</t>
        </is>
      </c>
    </row>
    <row r="43">
      <c r="A43" s="5" t="inlineStr">
        <is>
          <t xml:space="preserve">RF-041</t>
        </is>
      </c>
      <c r="B43" s="4" t="inlineStr">
        <is>
          <t xml:space="preserve">RF</t>
        </is>
      </c>
      <c r="C43" s="5" t="inlineStr">
        <is>
          <t xml:space="preserve">El sistema deberá liberar de inmediato la reserva digital de esa unidad, sin esperar la expiración del período.</t>
        </is>
      </c>
      <c r="D43" s="5" t="inlineStr">
        <is>
          <t xml:space="preserve">R:M-03</t>
        </is>
      </c>
      <c r="E43" s="5" t="inlineStr">
        <is>
          <t xml:space="preserve">Servicio de existencias</t>
        </is>
      </c>
      <c r="F43" s="5" t="inlineStr">
        <is>
          <t xml:space="preserve">Retail</t>
        </is>
      </c>
      <c r="G43" s="4" t="inlineStr">
        <is>
          <t xml:space="preserve">1</t>
        </is>
      </c>
      <c r="H43" s="4" t="inlineStr">
        <is>
          <t xml:space="preserve">Alta</t>
        </is>
      </c>
      <c r="I43" s="5" t="inlineStr">
        <is>
          <t xml:space="preserve">Retail</t>
        </is>
      </c>
      <c r="J43" s="5" t="inlineStr">
        <is>
          <t xml:space="preserve">—</t>
        </is>
      </c>
      <c r="K43" s="5" t="inlineStr">
        <is>
          <t xml:space="preserve">—</t>
        </is>
      </c>
      <c r="L43" s="5" t="inlineStr">
        <is>
          <t xml:space="preserve">RN-10</t>
        </is>
      </c>
      <c r="M43" s="5" t="inlineStr">
        <is>
          <t xml:space="preserve">La reserva es dato del servicio de existencias.</t>
        </is>
      </c>
      <c r="N43" s="5" t="inlineStr">
        <is>
          <t xml:space="preserve">—</t>
        </is>
      </c>
      <c r="O43" s="5" t="inlineStr">
        <is>
          <t xml:space="preserve">RF-010.7</t>
        </is>
      </c>
    </row>
    <row r="44">
      <c r="A44" s="5" t="inlineStr">
        <is>
          <t xml:space="preserve">RF-042</t>
        </is>
      </c>
      <c r="B44" s="4" t="inlineStr">
        <is>
          <t xml:space="preserve">RF</t>
        </is>
      </c>
      <c r="C44" s="5" t="inlineStr">
        <is>
          <t xml:space="preserve">El sistema deberá aplicar el período de vigencia de reserva reducido declarado como parámetro para el evento anual.</t>
        </is>
      </c>
      <c r="D44" s="5" t="inlineStr">
        <is>
          <t xml:space="preserve">R:M-03</t>
        </is>
      </c>
      <c r="E44" s="5" t="inlineStr">
        <is>
          <t xml:space="preserve">Servicio de existencias</t>
        </is>
      </c>
      <c r="F44" s="5" t="inlineStr">
        <is>
          <t xml:space="preserve">Retail</t>
        </is>
      </c>
      <c r="G44" s="4" t="inlineStr">
        <is>
          <t xml:space="preserve">1</t>
        </is>
      </c>
      <c r="H44" s="4" t="inlineStr">
        <is>
          <t xml:space="preserve">Alta</t>
        </is>
      </c>
      <c r="I44" s="5" t="inlineStr">
        <is>
          <t xml:space="preserve">Retail</t>
        </is>
      </c>
      <c r="J44" s="5" t="inlineStr">
        <is>
          <t xml:space="preserve">—</t>
        </is>
      </c>
      <c r="K44" s="5" t="inlineStr">
        <is>
          <t xml:space="preserve">—</t>
        </is>
      </c>
      <c r="L44" s="5" t="inlineStr">
        <is>
          <t xml:space="preserve">RN-10, RN-57</t>
        </is>
      </c>
      <c r="M44" s="5" t="inlineStr">
        <is>
          <t xml:space="preserve">La reserva es dato del servicio de existencias.</t>
        </is>
      </c>
      <c r="N44" s="5" t="inlineStr">
        <is>
          <t xml:space="preserve">—</t>
        </is>
      </c>
      <c r="O44" s="5" t="inlineStr">
        <is>
          <t xml:space="preserve">RF-010.8</t>
        </is>
      </c>
    </row>
    <row r="45">
      <c r="A45" s="5" t="inlineStr">
        <is>
          <t xml:space="preserve">RF-043</t>
        </is>
      </c>
      <c r="B45" s="4" t="inlineStr">
        <is>
          <t xml:space="preserve">RF</t>
        </is>
      </c>
      <c r="C45" s="5" t="inlineStr">
        <is>
          <t xml:space="preserve">El sistema deberá preautorizar el medio de pago al aceptar el pedido, sin capturar el cobro.</t>
        </is>
      </c>
      <c r="D45" s="5" t="inlineStr">
        <is>
          <t xml:space="preserve">R:V-01</t>
        </is>
      </c>
      <c r="E45" s="5" t="inlineStr">
        <is>
          <t xml:space="preserve">Servicio de pedidos</t>
        </is>
      </c>
      <c r="F45" s="5" t="inlineStr">
        <is>
          <t xml:space="preserve">Retail</t>
        </is>
      </c>
      <c r="G45" s="4" t="inlineStr">
        <is>
          <t xml:space="preserve">2</t>
        </is>
      </c>
      <c r="H45" s="4" t="inlineStr">
        <is>
          <t xml:space="preserve">Media</t>
        </is>
      </c>
      <c r="I45" s="5" t="inlineStr">
        <is>
          <t xml:space="preserve">Retail</t>
        </is>
      </c>
      <c r="J45" s="5" t="inlineStr">
        <is>
          <t xml:space="preserve">—</t>
        </is>
      </c>
      <c r="K45" s="5" t="inlineStr">
        <is>
          <t xml:space="preserve">—</t>
        </is>
      </c>
      <c r="L45" s="5" t="inlineStr">
        <is>
          <t xml:space="preserve">RN-21</t>
        </is>
      </c>
      <c r="M45" s="5" t="inlineStr">
        <is>
          <t xml:space="preserve"/>
        </is>
      </c>
      <c r="N45" s="5" t="inlineStr">
        <is>
          <t xml:space="preserve">—</t>
        </is>
      </c>
      <c r="O45" s="5" t="inlineStr">
        <is>
          <t xml:space="preserve">RF-011.1</t>
        </is>
      </c>
    </row>
    <row r="46">
      <c r="A46" s="5" t="inlineStr">
        <is>
          <t xml:space="preserve">RF-044</t>
        </is>
      </c>
      <c r="B46" s="4" t="inlineStr">
        <is>
          <t xml:space="preserve">RF</t>
        </is>
      </c>
      <c r="C46" s="5" t="inlineStr">
        <is>
          <t xml:space="preserve">El sistema deberá verificar la existencia física real de la unidad en el punto asignado antes de habilitar la captura del cobro.</t>
        </is>
      </c>
      <c r="D46" s="5" t="inlineStr">
        <is>
          <t xml:space="preserve">R:M-03</t>
        </is>
      </c>
      <c r="E46" s="5" t="inlineStr">
        <is>
          <t xml:space="preserve">Servicio de existencias</t>
        </is>
      </c>
      <c r="F46" s="5" t="inlineStr">
        <is>
          <t xml:space="preserve">Retail</t>
        </is>
      </c>
      <c r="G46" s="4" t="inlineStr">
        <is>
          <t xml:space="preserve">1</t>
        </is>
      </c>
      <c r="H46" s="4" t="inlineStr">
        <is>
          <t xml:space="preserve">Alta</t>
        </is>
      </c>
      <c r="I46" s="5" t="inlineStr">
        <is>
          <t xml:space="preserve">Retail</t>
        </is>
      </c>
      <c r="J46" s="5" t="inlineStr">
        <is>
          <t xml:space="preserve">—</t>
        </is>
      </c>
      <c r="K46" s="5" t="inlineStr">
        <is>
          <t xml:space="preserve">—</t>
        </is>
      </c>
      <c r="L46" s="5" t="inlineStr">
        <is>
          <t xml:space="preserve">RN-21</t>
        </is>
      </c>
      <c r="M46" s="5" t="inlineStr">
        <is>
          <t xml:space="preserve">La reserva es dato del servicio de existencias.</t>
        </is>
      </c>
      <c r="N46" s="5" t="inlineStr">
        <is>
          <t xml:space="preserve">—</t>
        </is>
      </c>
      <c r="O46" s="5" t="inlineStr">
        <is>
          <t xml:space="preserve">RF-011.2</t>
        </is>
      </c>
    </row>
    <row r="47">
      <c r="A47" s="5" t="inlineStr">
        <is>
          <t xml:space="preserve">RF-045</t>
        </is>
      </c>
      <c r="B47" s="4" t="inlineStr">
        <is>
          <t xml:space="preserve">RF</t>
        </is>
      </c>
      <c r="C47" s="5" t="inlineStr">
        <is>
          <t xml:space="preserve">El sistema deberá capturar el cobro únicamente al registrarse el evento de confirmación de la preparacion física.</t>
        </is>
      </c>
      <c r="D47" s="5" t="inlineStr">
        <is>
          <t xml:space="preserve">R:V-01</t>
        </is>
      </c>
      <c r="E47" s="5" t="inlineStr">
        <is>
          <t xml:space="preserve">Servicio de pedidos</t>
        </is>
      </c>
      <c r="F47" s="5" t="inlineStr">
        <is>
          <t xml:space="preserve">Retail</t>
        </is>
      </c>
      <c r="G47" s="4" t="inlineStr">
        <is>
          <t xml:space="preserve">2</t>
        </is>
      </c>
      <c r="H47" s="4" t="inlineStr">
        <is>
          <t xml:space="preserve">Media</t>
        </is>
      </c>
      <c r="I47" s="5" t="inlineStr">
        <is>
          <t xml:space="preserve">Retail</t>
        </is>
      </c>
      <c r="J47" s="5" t="inlineStr">
        <is>
          <t xml:space="preserve">—</t>
        </is>
      </c>
      <c r="K47" s="5" t="inlineStr">
        <is>
          <t xml:space="preserve">—</t>
        </is>
      </c>
      <c r="L47" s="5" t="inlineStr">
        <is>
          <t xml:space="preserve">RN-21</t>
        </is>
      </c>
      <c r="M47" s="5" t="inlineStr">
        <is>
          <t xml:space="preserve"/>
        </is>
      </c>
      <c r="N47" s="5" t="inlineStr">
        <is>
          <t xml:space="preserve">—</t>
        </is>
      </c>
      <c r="O47" s="5" t="inlineStr">
        <is>
          <t xml:space="preserve">RF-011.3</t>
        </is>
      </c>
    </row>
    <row r="48">
      <c r="A48" s="5" t="inlineStr">
        <is>
          <t xml:space="preserve">RF-046</t>
        </is>
      </c>
      <c r="B48" s="4" t="inlineStr">
        <is>
          <t xml:space="preserve">RF</t>
        </is>
      </c>
      <c r="C48" s="5" t="inlineStr">
        <is>
          <t xml:space="preserve">El sistema deberá determinar automáticamente la alternativa de resolución aplicable según el motor de reglas (cancelar, sustituir, derivar a tercero o entrega diferida).</t>
        </is>
      </c>
      <c r="D48" s="5" t="inlineStr">
        <is>
          <t xml:space="preserve">R:V-01</t>
        </is>
      </c>
      <c r="E48" s="5" t="inlineStr">
        <is>
          <t xml:space="preserve">Servicio de pedidos</t>
        </is>
      </c>
      <c r="F48" s="5" t="inlineStr">
        <is>
          <t xml:space="preserve">Retail</t>
        </is>
      </c>
      <c r="G48" s="4" t="inlineStr">
        <is>
          <t xml:space="preserve">2</t>
        </is>
      </c>
      <c r="H48" s="4" t="inlineStr">
        <is>
          <t xml:space="preserve">Media</t>
        </is>
      </c>
      <c r="I48" s="5" t="inlineStr">
        <is>
          <t xml:space="preserve">Retail</t>
        </is>
      </c>
      <c r="J48" s="5" t="inlineStr">
        <is>
          <t xml:space="preserve">—</t>
        </is>
      </c>
      <c r="K48" s="5" t="inlineStr">
        <is>
          <t xml:space="preserve">—</t>
        </is>
      </c>
      <c r="L48" s="5" t="inlineStr">
        <is>
          <t xml:space="preserve">RN-23</t>
        </is>
      </c>
      <c r="M48" s="5" t="inlineStr">
        <is>
          <t xml:space="preserve"/>
        </is>
      </c>
      <c r="N48" s="5" t="inlineStr">
        <is>
          <t xml:space="preserve">—</t>
        </is>
      </c>
      <c r="O48" s="5" t="inlineStr">
        <is>
          <t xml:space="preserve">RF-011.4</t>
        </is>
      </c>
    </row>
    <row r="49">
      <c r="A49" s="5" t="inlineStr">
        <is>
          <t xml:space="preserve">RF-047</t>
        </is>
      </c>
      <c r="B49" s="4" t="inlineStr">
        <is>
          <t xml:space="preserve">RF</t>
        </is>
      </c>
      <c r="C49" s="5" t="inlineStr">
        <is>
          <t xml:space="preserve">El sistema deberá requerir la aceptación explícita del cliente antes de capturar el cobro.</t>
        </is>
      </c>
      <c r="D49" s="5" t="inlineStr">
        <is>
          <t xml:space="preserve">R:V-01</t>
        </is>
      </c>
      <c r="E49" s="5" t="inlineStr">
        <is>
          <t xml:space="preserve">Servicio de pedidos</t>
        </is>
      </c>
      <c r="F49" s="5" t="inlineStr">
        <is>
          <t xml:space="preserve">Retail</t>
        </is>
      </c>
      <c r="G49" s="4" t="inlineStr">
        <is>
          <t xml:space="preserve">2</t>
        </is>
      </c>
      <c r="H49" s="4" t="inlineStr">
        <is>
          <t xml:space="preserve">Media</t>
        </is>
      </c>
      <c r="I49" s="5" t="inlineStr">
        <is>
          <t xml:space="preserve">Retail</t>
        </is>
      </c>
      <c r="J49" s="5" t="inlineStr">
        <is>
          <t xml:space="preserve">—</t>
        </is>
      </c>
      <c r="K49" s="5" t="inlineStr">
        <is>
          <t xml:space="preserve">—</t>
        </is>
      </c>
      <c r="L49" s="5" t="inlineStr">
        <is>
          <t xml:space="preserve">RN-23, RN-21</t>
        </is>
      </c>
      <c r="M49" s="5" t="inlineStr">
        <is>
          <t xml:space="preserve"/>
        </is>
      </c>
      <c r="N49" s="5" t="inlineStr">
        <is>
          <t xml:space="preserve">—</t>
        </is>
      </c>
      <c r="O49" s="5" t="inlineStr">
        <is>
          <t xml:space="preserve">RF-011.5</t>
        </is>
      </c>
    </row>
    <row r="50">
      <c r="A50" s="5" t="inlineStr">
        <is>
          <t xml:space="preserve">RF-048</t>
        </is>
      </c>
      <c r="B50" s="4" t="inlineStr">
        <is>
          <t xml:space="preserve">RF</t>
        </is>
      </c>
      <c r="C50" s="5" t="inlineStr">
        <is>
          <t xml:space="preserve">El sistema deberá anular la preautorización de pago del pedido.</t>
        </is>
      </c>
      <c r="D50" s="5" t="inlineStr">
        <is>
          <t xml:space="preserve">R:V-01</t>
        </is>
      </c>
      <c r="E50" s="5" t="inlineStr">
        <is>
          <t xml:space="preserve">Servicio de pedidos</t>
        </is>
      </c>
      <c r="F50" s="5" t="inlineStr">
        <is>
          <t xml:space="preserve">Retail</t>
        </is>
      </c>
      <c r="G50" s="4" t="inlineStr">
        <is>
          <t xml:space="preserve">2</t>
        </is>
      </c>
      <c r="H50" s="4" t="inlineStr">
        <is>
          <t xml:space="preserve">Media</t>
        </is>
      </c>
      <c r="I50" s="5" t="inlineStr">
        <is>
          <t xml:space="preserve">Retail</t>
        </is>
      </c>
      <c r="J50" s="5" t="inlineStr">
        <is>
          <t xml:space="preserve">—</t>
        </is>
      </c>
      <c r="K50" s="5" t="inlineStr">
        <is>
          <t xml:space="preserve">—</t>
        </is>
      </c>
      <c r="L50" s="5" t="inlineStr">
        <is>
          <t xml:space="preserve">RN-21, RN-23</t>
        </is>
      </c>
      <c r="M50" s="5" t="inlineStr">
        <is>
          <t xml:space="preserve"/>
        </is>
      </c>
      <c r="N50" s="5" t="inlineStr">
        <is>
          <t xml:space="preserve">—</t>
        </is>
      </c>
      <c r="O50" s="5" t="inlineStr">
        <is>
          <t xml:space="preserve">RF-011.6</t>
        </is>
      </c>
    </row>
    <row r="51">
      <c r="A51" s="5" t="inlineStr">
        <is>
          <t xml:space="preserve">RF-049</t>
        </is>
      </c>
      <c r="B51" s="4" t="inlineStr">
        <is>
          <t xml:space="preserve">RF</t>
        </is>
      </c>
      <c r="C51" s="5" t="inlineStr">
        <is>
          <t xml:space="preserve">El sistema deberá cancelar el pedido registrando el motivo de la cancelación.</t>
        </is>
      </c>
      <c r="D51" s="5" t="inlineStr">
        <is>
          <t xml:space="preserve">R:V-01</t>
        </is>
      </c>
      <c r="E51" s="5" t="inlineStr">
        <is>
          <t xml:space="preserve">Servicio de pedidos</t>
        </is>
      </c>
      <c r="F51" s="5" t="inlineStr">
        <is>
          <t xml:space="preserve">Retail</t>
        </is>
      </c>
      <c r="G51" s="4" t="inlineStr">
        <is>
          <t xml:space="preserve">2</t>
        </is>
      </c>
      <c r="H51" s="4" t="inlineStr">
        <is>
          <t xml:space="preserve">Media</t>
        </is>
      </c>
      <c r="I51" s="5" t="inlineStr">
        <is>
          <t xml:space="preserve">Retail</t>
        </is>
      </c>
      <c r="J51" s="5" t="inlineStr">
        <is>
          <t xml:space="preserve">—</t>
        </is>
      </c>
      <c r="K51" s="5" t="inlineStr">
        <is>
          <t xml:space="preserve">—</t>
        </is>
      </c>
      <c r="L51" s="5" t="inlineStr">
        <is>
          <t xml:space="preserve">RN-23</t>
        </is>
      </c>
      <c r="M51" s="5" t="inlineStr">
        <is>
          <t xml:space="preserve"/>
        </is>
      </c>
      <c r="N51" s="5" t="inlineStr">
        <is>
          <t xml:space="preserve">—</t>
        </is>
      </c>
      <c r="O51" s="5" t="inlineStr">
        <is>
          <t xml:space="preserve">RF-011.7</t>
        </is>
      </c>
    </row>
    <row r="52">
      <c r="A52" s="5" t="inlineStr">
        <is>
          <t xml:space="preserve">RF-050</t>
        </is>
      </c>
      <c r="B52" s="4" t="inlineStr">
        <is>
          <t xml:space="preserve">RF</t>
        </is>
      </c>
      <c r="C52" s="5" t="inlineStr">
        <is>
          <t xml:space="preserve">El sistema deberá generar la conciliación diaria de preautorizaciones vencidas sin captura.</t>
        </is>
      </c>
      <c r="D52" s="5" t="inlineStr">
        <is>
          <t xml:space="preserve">R:V-01</t>
        </is>
      </c>
      <c r="E52" s="5" t="inlineStr">
        <is>
          <t xml:space="preserve">Servicio de pedidos</t>
        </is>
      </c>
      <c r="F52" s="5" t="inlineStr">
        <is>
          <t xml:space="preserve">Retail</t>
        </is>
      </c>
      <c r="G52" s="4" t="inlineStr">
        <is>
          <t xml:space="preserve">2</t>
        </is>
      </c>
      <c r="H52" s="4" t="inlineStr">
        <is>
          <t xml:space="preserve">Media</t>
        </is>
      </c>
      <c r="I52" s="5" t="inlineStr">
        <is>
          <t xml:space="preserve">Retail</t>
        </is>
      </c>
      <c r="J52" s="5" t="inlineStr">
        <is>
          <t xml:space="preserve">—</t>
        </is>
      </c>
      <c r="K52" s="5" t="inlineStr">
        <is>
          <t xml:space="preserve">—</t>
        </is>
      </c>
      <c r="L52" s="5" t="inlineStr">
        <is>
          <t xml:space="preserve">RN-21</t>
        </is>
      </c>
      <c r="M52" s="5" t="inlineStr">
        <is>
          <t xml:space="preserve"/>
        </is>
      </c>
      <c r="N52" s="5" t="inlineStr">
        <is>
          <t xml:space="preserve">—</t>
        </is>
      </c>
      <c r="O52" s="5" t="inlineStr">
        <is>
          <t xml:space="preserve">RF-011.8</t>
        </is>
      </c>
    </row>
    <row r="53">
      <c r="A53" s="5" t="inlineStr">
        <is>
          <t xml:space="preserve">RF-051</t>
        </is>
      </c>
      <c r="B53" s="4" t="inlineStr">
        <is>
          <t xml:space="preserve">RF</t>
        </is>
      </c>
      <c r="C53" s="5" t="inlineStr">
        <is>
          <t xml:space="preserve">El sistema deberá notificar al cliente el cambio de estado de su pedido antes de efectuar cualquier cobro definitivo.</t>
        </is>
      </c>
      <c r="D53" s="5" t="inlineStr">
        <is>
          <t xml:space="preserve">R:V-01</t>
        </is>
      </c>
      <c r="E53" s="5" t="inlineStr">
        <is>
          <t xml:space="preserve">Servicio de pedidos</t>
        </is>
      </c>
      <c r="F53" s="5" t="inlineStr">
        <is>
          <t xml:space="preserve">Retail</t>
        </is>
      </c>
      <c r="G53" s="4" t="inlineStr">
        <is>
          <t xml:space="preserve">2</t>
        </is>
      </c>
      <c r="H53" s="4" t="inlineStr">
        <is>
          <t xml:space="preserve">Media</t>
        </is>
      </c>
      <c r="I53" s="5" t="inlineStr">
        <is>
          <t xml:space="preserve">Retail</t>
        </is>
      </c>
      <c r="J53" s="5" t="inlineStr">
        <is>
          <t xml:space="preserve">—</t>
        </is>
      </c>
      <c r="K53" s="5" t="inlineStr">
        <is>
          <t xml:space="preserve">—</t>
        </is>
      </c>
      <c r="L53" s="5" t="inlineStr">
        <is>
          <t xml:space="preserve">RN-23</t>
        </is>
      </c>
      <c r="M53" s="5" t="inlineStr">
        <is>
          <t xml:space="preserve"/>
        </is>
      </c>
      <c r="N53" s="5" t="inlineStr">
        <is>
          <t xml:space="preserve">—</t>
        </is>
      </c>
      <c r="O53" s="5" t="inlineStr">
        <is>
          <t xml:space="preserve">RF-011.9</t>
        </is>
      </c>
    </row>
    <row r="54">
      <c r="A54" s="5" t="inlineStr">
        <is>
          <t xml:space="preserve">RF-052</t>
        </is>
      </c>
      <c r="B54" s="4" t="inlineStr">
        <is>
          <t xml:space="preserve">RF</t>
        </is>
      </c>
      <c r="C54" s="5" t="inlineStr">
        <is>
          <t xml:space="preserve">El sistema deberá permitir a todos los actores consultar el estado del pedido desde una única fuente de verdad.</t>
        </is>
      </c>
      <c r="D54" s="5" t="inlineStr">
        <is>
          <t xml:space="preserve">R:V-01</t>
        </is>
      </c>
      <c r="E54" s="5" t="inlineStr">
        <is>
          <t xml:space="preserve">Servicio de pedidos</t>
        </is>
      </c>
      <c r="F54" s="5" t="inlineStr">
        <is>
          <t xml:space="preserve">Retail</t>
        </is>
      </c>
      <c r="G54" s="4" t="inlineStr">
        <is>
          <t xml:space="preserve">2</t>
        </is>
      </c>
      <c r="H54" s="4" t="inlineStr">
        <is>
          <t xml:space="preserve">Media</t>
        </is>
      </c>
      <c r="I54" s="5" t="inlineStr">
        <is>
          <t xml:space="preserve">Retail</t>
        </is>
      </c>
      <c r="J54" s="5" t="inlineStr">
        <is>
          <t xml:space="preserve">—</t>
        </is>
      </c>
      <c r="K54" s="5" t="inlineStr">
        <is>
          <t xml:space="preserve">—</t>
        </is>
      </c>
      <c r="L54" s="5" t="inlineStr">
        <is>
          <t xml:space="preserve">RN-23, RN-28</t>
        </is>
      </c>
      <c r="M54" s="5" t="inlineStr">
        <is>
          <t xml:space="preserve"/>
        </is>
      </c>
      <c r="N54" s="5" t="inlineStr">
        <is>
          <t xml:space="preserve">—</t>
        </is>
      </c>
      <c r="O54" s="5" t="inlineStr">
        <is>
          <t xml:space="preserve">RF-012</t>
        </is>
      </c>
    </row>
    <row r="55">
      <c r="A55" s="5" t="inlineStr">
        <is>
          <t xml:space="preserve">RF-053</t>
        </is>
      </c>
      <c r="B55" s="4" t="inlineStr">
        <is>
          <t xml:space="preserve">RF</t>
        </is>
      </c>
      <c r="C55" s="5" t="inlineStr">
        <is>
          <t xml:space="preserve">El sistema deberá permitir marcar como no elegible para cumplimiento digital el stock de exhibición de las categorías declaradas.</t>
        </is>
      </c>
      <c r="D55" s="5" t="inlineStr">
        <is>
          <t xml:space="preserve">R:V-01</t>
        </is>
      </c>
      <c r="E55" s="5" t="inlineStr">
        <is>
          <t xml:space="preserve">Servicio de pedidos</t>
        </is>
      </c>
      <c r="F55" s="5" t="inlineStr">
        <is>
          <t xml:space="preserve">Retail</t>
        </is>
      </c>
      <c r="G55" s="4" t="inlineStr">
        <is>
          <t xml:space="preserve">2</t>
        </is>
      </c>
      <c r="H55" s="4" t="inlineStr">
        <is>
          <t xml:space="preserve">Media</t>
        </is>
      </c>
      <c r="I55" s="5" t="inlineStr">
        <is>
          <t xml:space="preserve">Retail</t>
        </is>
      </c>
      <c r="J55" s="5" t="inlineStr">
        <is>
          <t xml:space="preserve">—</t>
        </is>
      </c>
      <c r="K55" s="5" t="inlineStr">
        <is>
          <t xml:space="preserve">—</t>
        </is>
      </c>
      <c r="L55" s="5" t="inlineStr">
        <is>
          <t xml:space="preserve">RN-22, RN-08</t>
        </is>
      </c>
      <c r="M55" s="5" t="inlineStr">
        <is>
          <t xml:space="preserve"/>
        </is>
      </c>
      <c r="N55" s="5" t="inlineStr">
        <is>
          <t xml:space="preserve">—</t>
        </is>
      </c>
      <c r="O55" s="5" t="inlineStr">
        <is>
          <t xml:space="preserve">RF-013</t>
        </is>
      </c>
    </row>
    <row r="56">
      <c r="A56" s="5" t="inlineStr">
        <is>
          <t xml:space="preserve">RF-054</t>
        </is>
      </c>
      <c r="B56" s="4" t="inlineStr">
        <is>
          <t xml:space="preserve">RF</t>
        </is>
      </c>
      <c r="C56" s="5" t="inlineStr">
        <is>
          <t xml:space="preserve">El sistema debe calcular la base de comisión reconociendo al vendedor y a la tienda de origen de la unidad.</t>
        </is>
      </c>
      <c r="D56" s="5" t="inlineStr">
        <is>
          <t xml:space="preserve">R:V-03</t>
        </is>
      </c>
      <c r="E56" s="5" t="inlineStr">
        <is>
          <t xml:space="preserve">Servicio de comisiones</t>
        </is>
      </c>
      <c r="F56" s="5" t="inlineStr">
        <is>
          <t xml:space="preserve">Retail</t>
        </is>
      </c>
      <c r="G56" s="4" t="inlineStr">
        <is>
          <t xml:space="preserve">2</t>
        </is>
      </c>
      <c r="H56" s="4" t="inlineStr">
        <is>
          <t xml:space="preserve">Media</t>
        </is>
      </c>
      <c r="I56" s="5" t="inlineStr">
        <is>
          <t xml:space="preserve">Retail</t>
        </is>
      </c>
      <c r="J56" s="5" t="inlineStr">
        <is>
          <t xml:space="preserve">—</t>
        </is>
      </c>
      <c r="K56" s="5" t="inlineStr">
        <is>
          <t xml:space="preserve">—</t>
        </is>
      </c>
      <c r="L56" s="5" t="inlineStr">
        <is>
          <t xml:space="preserve">RN-54</t>
        </is>
      </c>
      <c r="M56" s="5" t="inlineStr">
        <is>
          <t xml:space="preserve"/>
        </is>
      </c>
      <c r="N56" s="5" t="inlineStr">
        <is>
          <t xml:space="preserve">RF-014</t>
        </is>
      </c>
      <c r="O56" s="5" t="inlineStr">
        <is>
          <t xml:space="preserve">RF-014a</t>
        </is>
      </c>
    </row>
    <row r="57">
      <c r="A57" s="5" t="inlineStr">
        <is>
          <t xml:space="preserve">RF-055</t>
        </is>
      </c>
      <c r="B57" s="4" t="inlineStr">
        <is>
          <t xml:space="preserve">RF</t>
        </is>
      </c>
      <c r="C57" s="5" t="inlineStr">
        <is>
          <t xml:space="preserve">El sistema debe condicionar la transmisión de la base de comisión al movimiento real de inventario verificado en bodega.</t>
        </is>
      </c>
      <c r="D57" s="5" t="inlineStr">
        <is>
          <t xml:space="preserve">R:V-03</t>
        </is>
      </c>
      <c r="E57" s="5" t="inlineStr">
        <is>
          <t xml:space="preserve">Servicio de comisiones</t>
        </is>
      </c>
      <c r="F57" s="5" t="inlineStr">
        <is>
          <t xml:space="preserve">Retail</t>
        </is>
      </c>
      <c r="G57" s="4" t="inlineStr">
        <is>
          <t xml:space="preserve">2</t>
        </is>
      </c>
      <c r="H57" s="4" t="inlineStr">
        <is>
          <t xml:space="preserve">Media</t>
        </is>
      </c>
      <c r="I57" s="5" t="inlineStr">
        <is>
          <t xml:space="preserve">Retail</t>
        </is>
      </c>
      <c r="J57" s="5" t="inlineStr">
        <is>
          <t xml:space="preserve">—</t>
        </is>
      </c>
      <c r="K57" s="5" t="inlineStr">
        <is>
          <t xml:space="preserve">—</t>
        </is>
      </c>
      <c r="L57" s="5" t="inlineStr">
        <is>
          <t xml:space="preserve">RN-54</t>
        </is>
      </c>
      <c r="M57" s="5" t="inlineStr">
        <is>
          <t xml:space="preserve"/>
        </is>
      </c>
      <c r="N57" s="5" t="inlineStr">
        <is>
          <t xml:space="preserve">RF-014</t>
        </is>
      </c>
      <c r="O57" s="5" t="inlineStr">
        <is>
          <t xml:space="preserve">RF-014b</t>
        </is>
      </c>
    </row>
    <row r="58">
      <c r="A58" s="5" t="inlineStr">
        <is>
          <t xml:space="preserve">RF-056</t>
        </is>
      </c>
      <c r="B58" s="4" t="inlineStr">
        <is>
          <t xml:space="preserve">RF</t>
        </is>
      </c>
      <c r="C58" s="5" t="inlineStr">
        <is>
          <t xml:space="preserve">El sistema deberá reasignar el pedido a otro punto de despacho con existencia disponible.</t>
        </is>
      </c>
      <c r="D58" s="5" t="inlineStr">
        <is>
          <t xml:space="preserve">R:V-01</t>
        </is>
      </c>
      <c r="E58" s="5" t="inlineStr">
        <is>
          <t xml:space="preserve">Servicio de pedidos</t>
        </is>
      </c>
      <c r="F58" s="5" t="inlineStr">
        <is>
          <t xml:space="preserve">Retail</t>
        </is>
      </c>
      <c r="G58" s="4" t="inlineStr">
        <is>
          <t xml:space="preserve">2</t>
        </is>
      </c>
      <c r="H58" s="4" t="inlineStr">
        <is>
          <t xml:space="preserve">Media</t>
        </is>
      </c>
      <c r="I58" s="5" t="inlineStr">
        <is>
          <t xml:space="preserve">Retail</t>
        </is>
      </c>
      <c r="J58" s="5" t="inlineStr">
        <is>
          <t xml:space="preserve">—</t>
        </is>
      </c>
      <c r="K58" s="5" t="inlineStr">
        <is>
          <t xml:space="preserve">—</t>
        </is>
      </c>
      <c r="L58" s="5" t="inlineStr">
        <is>
          <t xml:space="preserve">RN-23</t>
        </is>
      </c>
      <c r="M58" s="5" t="inlineStr">
        <is>
          <t xml:space="preserve">Reasignar el pedido es parte del ciclo del pedido.</t>
        </is>
      </c>
      <c r="N58" s="5" t="inlineStr">
        <is>
          <t xml:space="preserve">—</t>
        </is>
      </c>
      <c r="O58" s="5" t="inlineStr">
        <is>
          <t xml:space="preserve">RF-015.1</t>
        </is>
      </c>
    </row>
    <row r="59">
      <c r="A59" s="5" t="inlineStr">
        <is>
          <t xml:space="preserve">RF-057</t>
        </is>
      </c>
      <c r="B59" s="4" t="inlineStr">
        <is>
          <t xml:space="preserve">RF</t>
        </is>
      </c>
      <c r="C59" s="5" t="inlineStr">
        <is>
          <t xml:space="preserve">El sistema deberá impedir una segunda reasignación del mismo pedido.</t>
        </is>
      </c>
      <c r="D59" s="5" t="inlineStr">
        <is>
          <t xml:space="preserve">R:V-01</t>
        </is>
      </c>
      <c r="E59" s="5" t="inlineStr">
        <is>
          <t xml:space="preserve">Servicio de pedidos</t>
        </is>
      </c>
      <c r="F59" s="5" t="inlineStr">
        <is>
          <t xml:space="preserve">Retail</t>
        </is>
      </c>
      <c r="G59" s="4" t="inlineStr">
        <is>
          <t xml:space="preserve">2</t>
        </is>
      </c>
      <c r="H59" s="4" t="inlineStr">
        <is>
          <t xml:space="preserve">Media</t>
        </is>
      </c>
      <c r="I59" s="5" t="inlineStr">
        <is>
          <t xml:space="preserve">Retail</t>
        </is>
      </c>
      <c r="J59" s="5" t="inlineStr">
        <is>
          <t xml:space="preserve">—</t>
        </is>
      </c>
      <c r="K59" s="5" t="inlineStr">
        <is>
          <t xml:space="preserve">—</t>
        </is>
      </c>
      <c r="L59" s="5" t="inlineStr">
        <is>
          <t xml:space="preserve">RN-23</t>
        </is>
      </c>
      <c r="M59" s="5" t="inlineStr">
        <is>
          <t xml:space="preserve"/>
        </is>
      </c>
      <c r="N59" s="5" t="inlineStr">
        <is>
          <t xml:space="preserve">—</t>
        </is>
      </c>
      <c r="O59" s="5" t="inlineStr">
        <is>
          <t xml:space="preserve">RF-015.2</t>
        </is>
      </c>
    </row>
    <row r="60">
      <c r="A60" s="5" t="inlineStr">
        <is>
          <t xml:space="preserve">RF-058</t>
        </is>
      </c>
      <c r="B60" s="4" t="inlineStr">
        <is>
          <t xml:space="preserve">RF</t>
        </is>
      </c>
      <c r="C60" s="5" t="inlineStr">
        <is>
          <t xml:space="preserve">El sistema deberá acotar la reasignación a la ventana de tiempo parametrizada.</t>
        </is>
      </c>
      <c r="D60" s="5" t="inlineStr">
        <is>
          <t xml:space="preserve">R:V-01</t>
        </is>
      </c>
      <c r="E60" s="5" t="inlineStr">
        <is>
          <t xml:space="preserve">Servicio de pedidos</t>
        </is>
      </c>
      <c r="F60" s="5" t="inlineStr">
        <is>
          <t xml:space="preserve">Retail</t>
        </is>
      </c>
      <c r="G60" s="4" t="inlineStr">
        <is>
          <t xml:space="preserve">2</t>
        </is>
      </c>
      <c r="H60" s="4" t="inlineStr">
        <is>
          <t xml:space="preserve">Media</t>
        </is>
      </c>
      <c r="I60" s="5" t="inlineStr">
        <is>
          <t xml:space="preserve">Retail</t>
        </is>
      </c>
      <c r="J60" s="5" t="inlineStr">
        <is>
          <t xml:space="preserve">—</t>
        </is>
      </c>
      <c r="K60" s="5" t="inlineStr">
        <is>
          <t xml:space="preserve">—</t>
        </is>
      </c>
      <c r="L60" s="5" t="inlineStr">
        <is>
          <t xml:space="preserve">RN-23</t>
        </is>
      </c>
      <c r="M60" s="5" t="inlineStr">
        <is>
          <t xml:space="preserve"/>
        </is>
      </c>
      <c r="N60" s="5" t="inlineStr">
        <is>
          <t xml:space="preserve">—</t>
        </is>
      </c>
      <c r="O60" s="5" t="inlineStr">
        <is>
          <t xml:space="preserve">RF-015.3</t>
        </is>
      </c>
    </row>
    <row r="61">
      <c r="A61" s="5" t="inlineStr">
        <is>
          <t xml:space="preserve">RF-059</t>
        </is>
      </c>
      <c r="B61" s="4" t="inlineStr">
        <is>
          <t xml:space="preserve">RF</t>
        </is>
      </c>
      <c r="C61" s="5" t="inlineStr">
        <is>
          <t xml:space="preserve">El sistema deberá ofrecer al cliente un producto equivalente.</t>
        </is>
      </c>
      <c r="D61" s="5" t="inlineStr">
        <is>
          <t xml:space="preserve">R:V-01</t>
        </is>
      </c>
      <c r="E61" s="5" t="inlineStr">
        <is>
          <t xml:space="preserve">Servicio de pedidos</t>
        </is>
      </c>
      <c r="F61" s="5" t="inlineStr">
        <is>
          <t xml:space="preserve">Retail</t>
        </is>
      </c>
      <c r="G61" s="4" t="inlineStr">
        <is>
          <t xml:space="preserve">2</t>
        </is>
      </c>
      <c r="H61" s="4" t="inlineStr">
        <is>
          <t xml:space="preserve">Media</t>
        </is>
      </c>
      <c r="I61" s="5" t="inlineStr">
        <is>
          <t xml:space="preserve">Retail</t>
        </is>
      </c>
      <c r="J61" s="5" t="inlineStr">
        <is>
          <t xml:space="preserve">—</t>
        </is>
      </c>
      <c r="K61" s="5" t="inlineStr">
        <is>
          <t xml:space="preserve">—</t>
        </is>
      </c>
      <c r="L61" s="5" t="inlineStr">
        <is>
          <t xml:space="preserve">RN-23</t>
        </is>
      </c>
      <c r="M61" s="5" t="inlineStr">
        <is>
          <t xml:space="preserve"/>
        </is>
      </c>
      <c r="N61" s="5" t="inlineStr">
        <is>
          <t xml:space="preserve">—</t>
        </is>
      </c>
      <c r="O61" s="5" t="inlineStr">
        <is>
          <t xml:space="preserve">RF-015.4</t>
        </is>
      </c>
    </row>
    <row r="62">
      <c r="A62" s="5" t="inlineStr">
        <is>
          <t xml:space="preserve">RF-060</t>
        </is>
      </c>
      <c r="B62" s="4" t="inlineStr">
        <is>
          <t xml:space="preserve">RF</t>
        </is>
      </c>
      <c r="C62" s="5" t="inlineStr">
        <is>
          <t xml:space="preserve">El sistema deberá ofrecer al cliente la espera compensada con la compensación parametrizada.</t>
        </is>
      </c>
      <c r="D62" s="5" t="inlineStr">
        <is>
          <t xml:space="preserve">R:V-01</t>
        </is>
      </c>
      <c r="E62" s="5" t="inlineStr">
        <is>
          <t xml:space="preserve">Servicio de pedidos</t>
        </is>
      </c>
      <c r="F62" s="5" t="inlineStr">
        <is>
          <t xml:space="preserve">Retail</t>
        </is>
      </c>
      <c r="G62" s="4" t="inlineStr">
        <is>
          <t xml:space="preserve">2</t>
        </is>
      </c>
      <c r="H62" s="4" t="inlineStr">
        <is>
          <t xml:space="preserve">Media</t>
        </is>
      </c>
      <c r="I62" s="5" t="inlineStr">
        <is>
          <t xml:space="preserve">Retail</t>
        </is>
      </c>
      <c r="J62" s="5" t="inlineStr">
        <is>
          <t xml:space="preserve">—</t>
        </is>
      </c>
      <c r="K62" s="5" t="inlineStr">
        <is>
          <t xml:space="preserve">—</t>
        </is>
      </c>
      <c r="L62" s="5" t="inlineStr">
        <is>
          <t xml:space="preserve">RN-23</t>
        </is>
      </c>
      <c r="M62" s="5" t="inlineStr">
        <is>
          <t xml:space="preserve"/>
        </is>
      </c>
      <c r="N62" s="5" t="inlineStr">
        <is>
          <t xml:space="preserve">—</t>
        </is>
      </c>
      <c r="O62" s="5" t="inlineStr">
        <is>
          <t xml:space="preserve">RF-015.5</t>
        </is>
      </c>
    </row>
    <row r="63">
      <c r="A63" s="5" t="inlineStr">
        <is>
          <t xml:space="preserve">RF-061</t>
        </is>
      </c>
      <c r="B63" s="4" t="inlineStr">
        <is>
          <t xml:space="preserve">RF</t>
        </is>
      </c>
      <c r="C63" s="5" t="inlineStr">
        <is>
          <t xml:space="preserve">El sistema deberá ofrecer al cliente la liberacion del pedido con anulación de la preautorización.</t>
        </is>
      </c>
      <c r="D63" s="5" t="inlineStr">
        <is>
          <t xml:space="preserve">R:V-01</t>
        </is>
      </c>
      <c r="E63" s="5" t="inlineStr">
        <is>
          <t xml:space="preserve">Servicio de pedidos</t>
        </is>
      </c>
      <c r="F63" s="5" t="inlineStr">
        <is>
          <t xml:space="preserve">Retail</t>
        </is>
      </c>
      <c r="G63" s="4" t="inlineStr">
        <is>
          <t xml:space="preserve">2</t>
        </is>
      </c>
      <c r="H63" s="4" t="inlineStr">
        <is>
          <t xml:space="preserve">Media</t>
        </is>
      </c>
      <c r="I63" s="5" t="inlineStr">
        <is>
          <t xml:space="preserve">Retail</t>
        </is>
      </c>
      <c r="J63" s="5" t="inlineStr">
        <is>
          <t xml:space="preserve">—</t>
        </is>
      </c>
      <c r="K63" s="5" t="inlineStr">
        <is>
          <t xml:space="preserve">—</t>
        </is>
      </c>
      <c r="L63" s="5" t="inlineStr">
        <is>
          <t xml:space="preserve">RN-23, RN-21</t>
        </is>
      </c>
      <c r="M63" s="5" t="inlineStr">
        <is>
          <t xml:space="preserve"/>
        </is>
      </c>
      <c r="N63" s="5" t="inlineStr">
        <is>
          <t xml:space="preserve">—</t>
        </is>
      </c>
      <c r="O63" s="5" t="inlineStr">
        <is>
          <t xml:space="preserve">RF-015.6</t>
        </is>
      </c>
    </row>
    <row r="64">
      <c r="A64" s="5" t="inlineStr">
        <is>
          <t xml:space="preserve">RF-062</t>
        </is>
      </c>
      <c r="B64" s="4" t="inlineStr">
        <is>
          <t xml:space="preserve">RF</t>
        </is>
      </c>
      <c r="C64" s="5" t="inlineStr">
        <is>
          <t xml:space="preserve">El sistema debe monitorear el tiempo restante de cada pedido respecto de su fecha prometida de entrega.</t>
        </is>
      </c>
      <c r="D64" s="5" t="inlineStr">
        <is>
          <t xml:space="preserve">R:V-01</t>
        </is>
      </c>
      <c r="E64" s="5" t="inlineStr">
        <is>
          <t xml:space="preserve">Servicio de pedidos</t>
        </is>
      </c>
      <c r="F64" s="5" t="inlineStr">
        <is>
          <t xml:space="preserve">Retail</t>
        </is>
      </c>
      <c r="G64" s="4" t="inlineStr">
        <is>
          <t xml:space="preserve">2</t>
        </is>
      </c>
      <c r="H64" s="4" t="inlineStr">
        <is>
          <t xml:space="preserve">Media</t>
        </is>
      </c>
      <c r="I64" s="5" t="inlineStr">
        <is>
          <t xml:space="preserve">Retail</t>
        </is>
      </c>
      <c r="J64" s="5" t="inlineStr">
        <is>
          <t xml:space="preserve">—</t>
        </is>
      </c>
      <c r="K64" s="5" t="inlineStr">
        <is>
          <t xml:space="preserve">—</t>
        </is>
      </c>
      <c r="L64" s="5" t="inlineStr">
        <is>
          <t xml:space="preserve">RN-24</t>
        </is>
      </c>
      <c r="M64" s="5" t="inlineStr">
        <is>
          <t xml:space="preserve"/>
        </is>
      </c>
      <c r="N64" s="5" t="inlineStr">
        <is>
          <t xml:space="preserve">RF-035</t>
        </is>
      </c>
      <c r="O64" s="5" t="inlineStr">
        <is>
          <t xml:space="preserve">RF-035a</t>
        </is>
      </c>
    </row>
    <row r="65">
      <c r="A65" s="5" t="inlineStr">
        <is>
          <t xml:space="preserve">RF-063</t>
        </is>
      </c>
      <c r="B65" s="4" t="inlineStr">
        <is>
          <t xml:space="preserve">RF</t>
        </is>
      </c>
      <c r="C65" s="5" t="inlineStr">
        <is>
          <t xml:space="preserve">El sistema debe priorizar la preparación del pedido al alcanzar el umbral parametrizado de tiempo restante.</t>
        </is>
      </c>
      <c r="D65" s="5" t="inlineStr">
        <is>
          <t xml:space="preserve">R:V-01</t>
        </is>
      </c>
      <c r="E65" s="5" t="inlineStr">
        <is>
          <t xml:space="preserve">Servicio de pedidos</t>
        </is>
      </c>
      <c r="F65" s="5" t="inlineStr">
        <is>
          <t xml:space="preserve">Retail</t>
        </is>
      </c>
      <c r="G65" s="4" t="inlineStr">
        <is>
          <t xml:space="preserve">2</t>
        </is>
      </c>
      <c r="H65" s="4" t="inlineStr">
        <is>
          <t xml:space="preserve">Media</t>
        </is>
      </c>
      <c r="I65" s="5" t="inlineStr">
        <is>
          <t xml:space="preserve">Retail</t>
        </is>
      </c>
      <c r="J65" s="5" t="inlineStr">
        <is>
          <t xml:space="preserve">—</t>
        </is>
      </c>
      <c r="K65" s="5" t="inlineStr">
        <is>
          <t xml:space="preserve">—</t>
        </is>
      </c>
      <c r="L65" s="5" t="inlineStr">
        <is>
          <t xml:space="preserve">RN-24</t>
        </is>
      </c>
      <c r="M65" s="5" t="inlineStr">
        <is>
          <t xml:space="preserve"/>
        </is>
      </c>
      <c r="N65" s="5" t="inlineStr">
        <is>
          <t xml:space="preserve">RF-035</t>
        </is>
      </c>
      <c r="O65" s="5" t="inlineStr">
        <is>
          <t xml:space="preserve">RF-035b</t>
        </is>
      </c>
    </row>
    <row r="66">
      <c r="A66" s="5" t="inlineStr">
        <is>
          <t xml:space="preserve">RF-064</t>
        </is>
      </c>
      <c r="B66" s="4" t="inlineStr">
        <is>
          <t xml:space="preserve">RF</t>
        </is>
      </c>
      <c r="C66" s="5" t="inlineStr">
        <is>
          <t xml:space="preserve">El sistema debe permitir al cliente no autenticado consultar el precio vigente de una referencia.</t>
        </is>
      </c>
      <c r="D66" s="5" t="inlineStr">
        <is>
          <t xml:space="preserve">R:M-01</t>
        </is>
      </c>
      <c r="E66" s="5" t="inlineStr">
        <is>
          <t xml:space="preserve">Servicio de oferta comercial</t>
        </is>
      </c>
      <c r="F66" s="5" t="inlineStr">
        <is>
          <t xml:space="preserve">Retail</t>
        </is>
      </c>
      <c r="G66" s="4" t="inlineStr">
        <is>
          <t xml:space="preserve">1</t>
        </is>
      </c>
      <c r="H66" s="4" t="inlineStr">
        <is>
          <t xml:space="preserve">Alta</t>
        </is>
      </c>
      <c r="I66" s="5" t="inlineStr">
        <is>
          <t xml:space="preserve">Retail</t>
        </is>
      </c>
      <c r="J66" s="5" t="inlineStr">
        <is>
          <t xml:space="preserve">—</t>
        </is>
      </c>
      <c r="K66" s="5" t="inlineStr">
        <is>
          <t xml:space="preserve">—</t>
        </is>
      </c>
      <c r="L66" s="5" t="inlineStr">
        <is>
          <t xml:space="preserve">RN-17, RN-11</t>
        </is>
      </c>
      <c r="M66" s="5" t="inlineStr">
        <is>
          <t xml:space="preserve">El precio vigente es dato del servicio de oferta comercial. La consulta pública es parte del portal de la Etapa 1.</t>
        </is>
      </c>
      <c r="N66" s="5" t="inlineStr">
        <is>
          <t xml:space="preserve">RF-036A</t>
        </is>
      </c>
      <c r="O66" s="5" t="inlineStr">
        <is>
          <t xml:space="preserve">RF-036A.1</t>
        </is>
      </c>
    </row>
    <row r="67">
      <c r="A67" s="5" t="inlineStr">
        <is>
          <t xml:space="preserve">RF-065</t>
        </is>
      </c>
      <c r="B67" s="4" t="inlineStr">
        <is>
          <t xml:space="preserve">RF</t>
        </is>
      </c>
      <c r="C67" s="5" t="inlineStr">
        <is>
          <t xml:space="preserve">El sistema debe permitir al cliente no autenticado consultar la disponibilidad de la referencia por tienda.</t>
        </is>
      </c>
      <c r="D67" s="5" t="inlineStr">
        <is>
          <t xml:space="preserve">R:M-03</t>
        </is>
      </c>
      <c r="E67" s="5" t="inlineStr">
        <is>
          <t xml:space="preserve">Servicio de existencias</t>
        </is>
      </c>
      <c r="F67" s="5" t="inlineStr">
        <is>
          <t xml:space="preserve">Retail</t>
        </is>
      </c>
      <c r="G67" s="4" t="inlineStr">
        <is>
          <t xml:space="preserve">1</t>
        </is>
      </c>
      <c r="H67" s="4" t="inlineStr">
        <is>
          <t xml:space="preserve">Alta</t>
        </is>
      </c>
      <c r="I67" s="5" t="inlineStr">
        <is>
          <t xml:space="preserve">Retail</t>
        </is>
      </c>
      <c r="J67" s="5" t="inlineStr">
        <is>
          <t xml:space="preserve">—</t>
        </is>
      </c>
      <c r="K67" s="5" t="inlineStr">
        <is>
          <t xml:space="preserve">—</t>
        </is>
      </c>
      <c r="L67" s="5" t="inlineStr">
        <is>
          <t xml:space="preserve">RN-17, RN-11</t>
        </is>
      </c>
      <c r="M67" s="5" t="inlineStr">
        <is>
          <t xml:space="preserve">La disponibilidad es dato del servicio de existencias. La consulta pública es parte del portal de la Etapa 1.</t>
        </is>
      </c>
      <c r="N67" s="5" t="inlineStr">
        <is>
          <t xml:space="preserve">RF-036A</t>
        </is>
      </c>
      <c r="O67" s="5" t="inlineStr">
        <is>
          <t xml:space="preserve">RF-036A.2</t>
        </is>
      </c>
    </row>
    <row r="68">
      <c r="A68" s="5" t="inlineStr">
        <is>
          <t xml:space="preserve">RF-066</t>
        </is>
      </c>
      <c r="B68" s="4" t="inlineStr">
        <is>
          <t xml:space="preserve">RF</t>
        </is>
      </c>
      <c r="C68" s="5" t="inlineStr">
        <is>
          <t xml:space="preserve">El sistema debe permitir al cliente no autenticado consultar la disponibilidad de la referencia para despacho.</t>
        </is>
      </c>
      <c r="D68" s="5" t="inlineStr">
        <is>
          <t xml:space="preserve">R:M-03</t>
        </is>
      </c>
      <c r="E68" s="5" t="inlineStr">
        <is>
          <t xml:space="preserve">Servicio de existencias</t>
        </is>
      </c>
      <c r="F68" s="5" t="inlineStr">
        <is>
          <t xml:space="preserve">Retail</t>
        </is>
      </c>
      <c r="G68" s="4" t="inlineStr">
        <is>
          <t xml:space="preserve">1</t>
        </is>
      </c>
      <c r="H68" s="4" t="inlineStr">
        <is>
          <t xml:space="preserve">Alta</t>
        </is>
      </c>
      <c r="I68" s="5" t="inlineStr">
        <is>
          <t xml:space="preserve">Retail</t>
        </is>
      </c>
      <c r="J68" s="5" t="inlineStr">
        <is>
          <t xml:space="preserve">—</t>
        </is>
      </c>
      <c r="K68" s="5" t="inlineStr">
        <is>
          <t xml:space="preserve">—</t>
        </is>
      </c>
      <c r="L68" s="5" t="inlineStr">
        <is>
          <t xml:space="preserve">RN-17, RN-11</t>
        </is>
      </c>
      <c r="M68" s="5" t="inlineStr">
        <is>
          <t xml:space="preserve">La disponibilidad es dato del servicio de existencias. La consulta pública es parte del portal de la Etapa 1.</t>
        </is>
      </c>
      <c r="N68" s="5" t="inlineStr">
        <is>
          <t xml:space="preserve">RF-036A</t>
        </is>
      </c>
      <c r="O68" s="5" t="inlineStr">
        <is>
          <t xml:space="preserve">RF-036A.3</t>
        </is>
      </c>
    </row>
    <row r="69">
      <c r="A69" s="5" t="inlineStr">
        <is>
          <t xml:space="preserve">RF-067</t>
        </is>
      </c>
      <c r="B69" s="4" t="inlineStr">
        <is>
          <t xml:space="preserve">RF</t>
        </is>
      </c>
      <c r="C69" s="5" t="inlineStr">
        <is>
          <t xml:space="preserve">El sistema debe permitir al cliente autenticado consultar sus compras.</t>
        </is>
      </c>
      <c r="D69" s="5" t="inlineStr">
        <is>
          <t xml:space="preserve">R:V-01</t>
        </is>
      </c>
      <c r="E69" s="5" t="inlineStr">
        <is>
          <t xml:space="preserve">Servicio de pedidos</t>
        </is>
      </c>
      <c r="F69" s="5" t="inlineStr">
        <is>
          <t xml:space="preserve">Retail</t>
        </is>
      </c>
      <c r="G69" s="4" t="inlineStr">
        <is>
          <t xml:space="preserve">2</t>
        </is>
      </c>
      <c r="H69" s="4" t="inlineStr">
        <is>
          <t xml:space="preserve">Media</t>
        </is>
      </c>
      <c r="I69" s="5" t="inlineStr">
        <is>
          <t xml:space="preserve">Retail</t>
        </is>
      </c>
      <c r="J69" s="5" t="inlineStr">
        <is>
          <t xml:space="preserve">—</t>
        </is>
      </c>
      <c r="K69" s="5" t="inlineStr">
        <is>
          <t xml:space="preserve">—</t>
        </is>
      </c>
      <c r="L69" s="5" t="inlineStr">
        <is>
          <t xml:space="preserve">RN-02, RN-04</t>
        </is>
      </c>
      <c r="M69" s="5" t="inlineStr">
        <is>
          <t xml:space="preserve"/>
        </is>
      </c>
      <c r="N69" s="5" t="inlineStr">
        <is>
          <t xml:space="preserve">RF-037</t>
        </is>
      </c>
      <c r="O69" s="5" t="inlineStr">
        <is>
          <t xml:space="preserve">RF-037.1</t>
        </is>
      </c>
    </row>
    <row r="70">
      <c r="A70" s="5" t="inlineStr">
        <is>
          <t xml:space="preserve">RF-068</t>
        </is>
      </c>
      <c r="B70" s="4" t="inlineStr">
        <is>
          <t xml:space="preserve">RF</t>
        </is>
      </c>
      <c r="C70" s="5" t="inlineStr">
        <is>
          <t xml:space="preserve">El sistema debe permitir al cliente autenticado consultar sus devoluciones.</t>
        </is>
      </c>
      <c r="D70" s="5" t="inlineStr">
        <is>
          <t xml:space="preserve">R:V-01</t>
        </is>
      </c>
      <c r="E70" s="5" t="inlineStr">
        <is>
          <t xml:space="preserve">Servicio de pedidos</t>
        </is>
      </c>
      <c r="F70" s="5" t="inlineStr">
        <is>
          <t xml:space="preserve">Retail</t>
        </is>
      </c>
      <c r="G70" s="4" t="inlineStr">
        <is>
          <t xml:space="preserve">2</t>
        </is>
      </c>
      <c r="H70" s="4" t="inlineStr">
        <is>
          <t xml:space="preserve">Media</t>
        </is>
      </c>
      <c r="I70" s="5" t="inlineStr">
        <is>
          <t xml:space="preserve">Retail</t>
        </is>
      </c>
      <c r="J70" s="5" t="inlineStr">
        <is>
          <t xml:space="preserve">—</t>
        </is>
      </c>
      <c r="K70" s="5" t="inlineStr">
        <is>
          <t xml:space="preserve">—</t>
        </is>
      </c>
      <c r="L70" s="5" t="inlineStr">
        <is>
          <t xml:space="preserve">RN-02, RN-04</t>
        </is>
      </c>
      <c r="M70" s="5" t="inlineStr">
        <is>
          <t xml:space="preserve"/>
        </is>
      </c>
      <c r="N70" s="5" t="inlineStr">
        <is>
          <t xml:space="preserve">RF-037</t>
        </is>
      </c>
      <c r="O70" s="5" t="inlineStr">
        <is>
          <t xml:space="preserve">RF-037.2</t>
        </is>
      </c>
    </row>
    <row r="71">
      <c r="A71" s="5" t="inlineStr">
        <is>
          <t xml:space="preserve">RF-069</t>
        </is>
      </c>
      <c r="B71" s="4" t="inlineStr">
        <is>
          <t xml:space="preserve">RF</t>
        </is>
      </c>
      <c r="C71" s="5" t="inlineStr">
        <is>
          <t xml:space="preserve">El sistema debe permitir al cliente autenticado consultar su estado de cuenta.</t>
        </is>
      </c>
      <c r="D71" s="5" t="inlineStr">
        <is>
          <t xml:space="preserve">F:C-02</t>
        </is>
      </c>
      <c r="E71" s="5" t="inlineStr">
        <is>
          <t xml:space="preserve">Servicio de cartera de crédito</t>
        </is>
      </c>
      <c r="F71" s="5" t="inlineStr">
        <is>
          <t xml:space="preserve">Filial emisora</t>
        </is>
      </c>
      <c r="G71" s="4" t="inlineStr">
        <is>
          <t xml:space="preserve">2</t>
        </is>
      </c>
      <c r="H71" s="4" t="inlineStr">
        <is>
          <t xml:space="preserve">Media</t>
        </is>
      </c>
      <c r="I71" s="5" t="inlineStr">
        <is>
          <t xml:space="preserve">Filial emisora</t>
        </is>
      </c>
      <c r="J71" s="5" t="inlineStr">
        <is>
          <t xml:space="preserve">—</t>
        </is>
      </c>
      <c r="K71" s="5" t="inlineStr">
        <is>
          <t xml:space="preserve">—</t>
        </is>
      </c>
      <c r="L71" s="5" t="inlineStr">
        <is>
          <t xml:space="preserve">RN-02, RN-04</t>
        </is>
      </c>
      <c r="M71" s="5" t="inlineStr">
        <is>
          <t xml:space="preserve">El estado de cuenta es dato de la filial emisora y la consulta pasa por el control de cruces (RF-165 y RF-174). Portal del cliente de la Etapa 2.</t>
        </is>
      </c>
      <c r="N71" s="5" t="inlineStr">
        <is>
          <t xml:space="preserve">RF-037</t>
        </is>
      </c>
      <c r="O71" s="5" t="inlineStr">
        <is>
          <t xml:space="preserve">RF-037.3</t>
        </is>
      </c>
    </row>
    <row r="72">
      <c r="A72" s="5" t="inlineStr">
        <is>
          <t xml:space="preserve">RF-070</t>
        </is>
      </c>
      <c r="B72" s="4" t="inlineStr">
        <is>
          <t xml:space="preserve">RF</t>
        </is>
      </c>
      <c r="C72" s="5" t="inlineStr">
        <is>
          <t xml:space="preserve">El sistema debe permitir al cliente autenticado consultar sus documentos.</t>
        </is>
      </c>
      <c r="D72" s="5" t="inlineStr">
        <is>
          <t xml:space="preserve">F:C-02</t>
        </is>
      </c>
      <c r="E72" s="5" t="inlineStr">
        <is>
          <t xml:space="preserve">Servicio de cartera de crédito</t>
        </is>
      </c>
      <c r="F72" s="5" t="inlineStr">
        <is>
          <t xml:space="preserve">Filial emisora</t>
        </is>
      </c>
      <c r="G72" s="4" t="inlineStr">
        <is>
          <t xml:space="preserve">2</t>
        </is>
      </c>
      <c r="H72" s="4" t="inlineStr">
        <is>
          <t xml:space="preserve">Media</t>
        </is>
      </c>
      <c r="I72" s="5" t="inlineStr">
        <is>
          <t xml:space="preserve">Filial emisora</t>
        </is>
      </c>
      <c r="J72" s="5" t="inlineStr">
        <is>
          <t xml:space="preserve">—</t>
        </is>
      </c>
      <c r="K72" s="5" t="inlineStr">
        <is>
          <t xml:space="preserve">—</t>
        </is>
      </c>
      <c r="L72" s="5" t="inlineStr">
        <is>
          <t xml:space="preserve">RN-02, RN-04</t>
        </is>
      </c>
      <c r="M72" s="5" t="inlineStr">
        <is>
          <t xml:space="preserve">Los documentos del crédito son datos de la filial emisora y la consulta pasa por el control de cruces (RF-165 y RF-174). Portal del cliente de la Etapa 2.</t>
        </is>
      </c>
      <c r="N72" s="5" t="inlineStr">
        <is>
          <t xml:space="preserve">RF-037</t>
        </is>
      </c>
      <c r="O72" s="5" t="inlineStr">
        <is>
          <t xml:space="preserve">RF-037.4</t>
        </is>
      </c>
    </row>
    <row r="73">
      <c r="A73" s="5" t="inlineStr">
        <is>
          <t xml:space="preserve">RF-071</t>
        </is>
      </c>
      <c r="B73" s="4" t="inlineStr">
        <is>
          <t xml:space="preserve">RF</t>
        </is>
      </c>
      <c r="C73" s="5" t="inlineStr">
        <is>
          <t xml:space="preserve">El sistema deberá calcular la base de comisión considerando el canal de origen y el canal de cumplimiento cuando estos difieran.</t>
        </is>
      </c>
      <c r="D73" s="5" t="inlineStr">
        <is>
          <t xml:space="preserve">R:V-03</t>
        </is>
      </c>
      <c r="E73" s="5" t="inlineStr">
        <is>
          <t xml:space="preserve">Servicio de comisiones</t>
        </is>
      </c>
      <c r="F73" s="5" t="inlineStr">
        <is>
          <t xml:space="preserve">Retail</t>
        </is>
      </c>
      <c r="G73" s="4" t="inlineStr">
        <is>
          <t xml:space="preserve">2</t>
        </is>
      </c>
      <c r="H73" s="4" t="inlineStr">
        <is>
          <t xml:space="preserve">Media</t>
        </is>
      </c>
      <c r="I73" s="5" t="inlineStr">
        <is>
          <t xml:space="preserve">Retail</t>
        </is>
      </c>
      <c r="J73" s="5" t="inlineStr">
        <is>
          <t xml:space="preserve">—</t>
        </is>
      </c>
      <c r="K73" s="5" t="inlineStr">
        <is>
          <t xml:space="preserve">—</t>
        </is>
      </c>
      <c r="L73" s="5" t="inlineStr">
        <is>
          <t xml:space="preserve">RN-54</t>
        </is>
      </c>
      <c r="M73" s="5" t="inlineStr">
        <is>
          <t xml:space="preserve">Mantenido: EXC-05 exige calcular la base de comisión entre canales y RF-054 no considera el canal de cumplimiento.</t>
        </is>
      </c>
      <c r="N73" s="5" t="inlineStr">
        <is>
          <t xml:space="preserve">—</t>
        </is>
      </c>
      <c r="O73" s="5" t="inlineStr">
        <is>
          <t xml:space="preserve">RF-040</t>
        </is>
      </c>
    </row>
    <row r="74">
      <c r="A74" s="5" t="inlineStr">
        <is>
          <t xml:space="preserve">RF-072</t>
        </is>
      </c>
      <c r="B74" s="4" t="inlineStr">
        <is>
          <t xml:space="preserve">RF</t>
        </is>
      </c>
      <c r="C74" s="5" t="inlineStr">
        <is>
          <t xml:space="preserve">El sistema debe permitir al ejecutivo de mesón consultar el estado real del pedido.</t>
        </is>
      </c>
      <c r="D74" s="5" t="inlineStr">
        <is>
          <t xml:space="preserve">R:V-01</t>
        </is>
      </c>
      <c r="E74" s="5" t="inlineStr">
        <is>
          <t xml:space="preserve">Servicio de pedidos</t>
        </is>
      </c>
      <c r="F74" s="5" t="inlineStr">
        <is>
          <t xml:space="preserve">Retail</t>
        </is>
      </c>
      <c r="G74" s="4" t="inlineStr">
        <is>
          <t xml:space="preserve">2</t>
        </is>
      </c>
      <c r="H74" s="4" t="inlineStr">
        <is>
          <t xml:space="preserve">Media</t>
        </is>
      </c>
      <c r="I74" s="5" t="inlineStr">
        <is>
          <t xml:space="preserve">Retail</t>
        </is>
      </c>
      <c r="J74" s="5" t="inlineStr">
        <is>
          <t xml:space="preserve">—</t>
        </is>
      </c>
      <c r="K74" s="5" t="inlineStr">
        <is>
          <t xml:space="preserve">—</t>
        </is>
      </c>
      <c r="L74" s="5" t="inlineStr">
        <is>
          <t xml:space="preserve">RN-16, RN-23</t>
        </is>
      </c>
      <c r="M74" s="5" t="inlineStr">
        <is>
          <t xml:space="preserve"/>
        </is>
      </c>
      <c r="N74" s="5" t="inlineStr">
        <is>
          <t xml:space="preserve">RF-049</t>
        </is>
      </c>
      <c r="O74" s="5" t="inlineStr">
        <is>
          <t xml:space="preserve">RF-049a</t>
        </is>
      </c>
    </row>
    <row r="75">
      <c r="A75" s="5" t="inlineStr">
        <is>
          <t xml:space="preserve">RF-073</t>
        </is>
      </c>
      <c r="B75" s="4" t="inlineStr">
        <is>
          <t xml:space="preserve">RF</t>
        </is>
      </c>
      <c r="C75" s="5" t="inlineStr">
        <is>
          <t xml:space="preserve">El sistema debe permitir al ejecutivo de mesón consultar el precio aplicado al pedido.</t>
        </is>
      </c>
      <c r="D75" s="5" t="inlineStr">
        <is>
          <t xml:space="preserve">R:V-01</t>
        </is>
      </c>
      <c r="E75" s="5" t="inlineStr">
        <is>
          <t xml:space="preserve">Servicio de pedidos</t>
        </is>
      </c>
      <c r="F75" s="5" t="inlineStr">
        <is>
          <t xml:space="preserve">Retail</t>
        </is>
      </c>
      <c r="G75" s="4" t="inlineStr">
        <is>
          <t xml:space="preserve">2</t>
        </is>
      </c>
      <c r="H75" s="4" t="inlineStr">
        <is>
          <t xml:space="preserve">Media</t>
        </is>
      </c>
      <c r="I75" s="5" t="inlineStr">
        <is>
          <t xml:space="preserve">Retail</t>
        </is>
      </c>
      <c r="J75" s="5" t="inlineStr">
        <is>
          <t xml:space="preserve">—</t>
        </is>
      </c>
      <c r="K75" s="5" t="inlineStr">
        <is>
          <t xml:space="preserve">—</t>
        </is>
      </c>
      <c r="L75" s="5" t="inlineStr">
        <is>
          <t xml:space="preserve">RN-16, RN-23</t>
        </is>
      </c>
      <c r="M75" s="5" t="inlineStr">
        <is>
          <t xml:space="preserve"/>
        </is>
      </c>
      <c r="N75" s="5" t="inlineStr">
        <is>
          <t xml:space="preserve">RF-049</t>
        </is>
      </c>
      <c r="O75" s="5" t="inlineStr">
        <is>
          <t xml:space="preserve">RF-049b</t>
        </is>
      </c>
    </row>
    <row r="76">
      <c r="A76" s="5" t="inlineStr">
        <is>
          <t xml:space="preserve">RF-074</t>
        </is>
      </c>
      <c r="B76" s="4" t="inlineStr">
        <is>
          <t xml:space="preserve">RF</t>
        </is>
      </c>
      <c r="C76" s="5" t="inlineStr">
        <is>
          <t xml:space="preserve">El sistema debe permitir al ejecutivo de mesón ofrecer al cliente las opciones de resolución definidas en RF-059, RF-060 y RF-061.</t>
        </is>
      </c>
      <c r="D76" s="5" t="inlineStr">
        <is>
          <t xml:space="preserve">R:V-01</t>
        </is>
      </c>
      <c r="E76" s="5" t="inlineStr">
        <is>
          <t xml:space="preserve">Servicio de pedidos</t>
        </is>
      </c>
      <c r="F76" s="5" t="inlineStr">
        <is>
          <t xml:space="preserve">Retail</t>
        </is>
      </c>
      <c r="G76" s="4" t="inlineStr">
        <is>
          <t xml:space="preserve">2</t>
        </is>
      </c>
      <c r="H76" s="4" t="inlineStr">
        <is>
          <t xml:space="preserve">Media</t>
        </is>
      </c>
      <c r="I76" s="5" t="inlineStr">
        <is>
          <t xml:space="preserve">Retail</t>
        </is>
      </c>
      <c r="J76" s="5" t="inlineStr">
        <is>
          <t xml:space="preserve">—</t>
        </is>
      </c>
      <c r="K76" s="5" t="inlineStr">
        <is>
          <t xml:space="preserve">—</t>
        </is>
      </c>
      <c r="L76" s="5" t="inlineStr">
        <is>
          <t xml:space="preserve">RN-16, RN-23</t>
        </is>
      </c>
      <c r="M76" s="5" t="inlineStr">
        <is>
          <t xml:space="preserve"/>
        </is>
      </c>
      <c r="N76" s="5" t="inlineStr">
        <is>
          <t xml:space="preserve">RF-049</t>
        </is>
      </c>
      <c r="O76" s="5" t="inlineStr">
        <is>
          <t xml:space="preserve">RF-049c</t>
        </is>
      </c>
    </row>
    <row r="77">
      <c r="A77" s="5" t="inlineStr">
        <is>
          <t xml:space="preserve">RF-075</t>
        </is>
      </c>
      <c r="B77" s="4" t="inlineStr">
        <is>
          <t xml:space="preserve">RF</t>
        </is>
      </c>
      <c r="C77" s="5" t="inlineStr">
        <is>
          <t xml:space="preserve">El sistema deberá excluir al centro de distribución de Concepción como origen de promesa de entrega en el canal digital mientras no este acreditado su sistema de gestión de almacenes.</t>
        </is>
      </c>
      <c r="D77" s="5" t="inlineStr">
        <is>
          <t xml:space="preserve">R:V-01</t>
        </is>
      </c>
      <c r="E77" s="5" t="inlineStr">
        <is>
          <t xml:space="preserve">Servicio de pedidos</t>
        </is>
      </c>
      <c r="F77" s="5" t="inlineStr">
        <is>
          <t xml:space="preserve">Retail</t>
        </is>
      </c>
      <c r="G77" s="4" t="inlineStr">
        <is>
          <t xml:space="preserve">2</t>
        </is>
      </c>
      <c r="H77" s="4" t="inlineStr">
        <is>
          <t xml:space="preserve">Media</t>
        </is>
      </c>
      <c r="I77" s="5" t="inlineStr">
        <is>
          <t xml:space="preserve">Retail</t>
        </is>
      </c>
      <c r="J77" s="5" t="inlineStr">
        <is>
          <t xml:space="preserve">—</t>
        </is>
      </c>
      <c r="K77" s="5" t="inlineStr">
        <is>
          <t xml:space="preserve">—</t>
        </is>
      </c>
      <c r="L77" s="5" t="inlineStr">
        <is>
          <t xml:space="preserve">RN-15</t>
        </is>
      </c>
      <c r="M77" s="5" t="inlineStr">
        <is>
          <t xml:space="preserve"/>
        </is>
      </c>
      <c r="N77" s="5" t="inlineStr">
        <is>
          <t xml:space="preserve">—</t>
        </is>
      </c>
      <c r="O77" s="5" t="inlineStr">
        <is>
          <t xml:space="preserve">RF-057</t>
        </is>
      </c>
    </row>
    <row r="78">
      <c r="A78" s="5" t="inlineStr">
        <is>
          <t xml:space="preserve">RF-076</t>
        </is>
      </c>
      <c r="B78" s="4" t="inlineStr">
        <is>
          <t xml:space="preserve">RF</t>
        </is>
      </c>
      <c r="C78" s="5" t="inlineStr">
        <is>
          <t xml:space="preserve">El sistema deberá calcular el costo total de servir de cada punto de despacho candidato, incorporando costo logístico, costo de oportunidad de sala y plazo comprometido.</t>
        </is>
      </c>
      <c r="D78" s="5" t="inlineStr">
        <is>
          <t xml:space="preserve">R:V-01</t>
        </is>
      </c>
      <c r="E78" s="5" t="inlineStr">
        <is>
          <t xml:space="preserve">Servicio de pedidos</t>
        </is>
      </c>
      <c r="F78" s="5" t="inlineStr">
        <is>
          <t xml:space="preserve">Retail</t>
        </is>
      </c>
      <c r="G78" s="4" t="inlineStr">
        <is>
          <t xml:space="preserve">2</t>
        </is>
      </c>
      <c r="H78" s="4" t="inlineStr">
        <is>
          <t xml:space="preserve">Media</t>
        </is>
      </c>
      <c r="I78" s="5" t="inlineStr">
        <is>
          <t xml:space="preserve">Retail</t>
        </is>
      </c>
      <c r="J78" s="5" t="inlineStr">
        <is>
          <t xml:space="preserve">—</t>
        </is>
      </c>
      <c r="K78" s="5" t="inlineStr">
        <is>
          <t xml:space="preserve">—</t>
        </is>
      </c>
      <c r="L78" s="5" t="inlineStr">
        <is>
          <t xml:space="preserve">RN-22</t>
        </is>
      </c>
      <c r="M78" s="5" t="inlineStr">
        <is>
          <t xml:space="preserve"/>
        </is>
      </c>
      <c r="N78" s="5" t="inlineStr">
        <is>
          <t xml:space="preserve">—</t>
        </is>
      </c>
      <c r="O78" s="5" t="inlineStr">
        <is>
          <t xml:space="preserve">RF-071</t>
        </is>
      </c>
    </row>
    <row r="79">
      <c r="A79" s="5" t="inlineStr">
        <is>
          <t xml:space="preserve">RF-077</t>
        </is>
      </c>
      <c r="B79" s="4" t="inlineStr">
        <is>
          <t xml:space="preserve">RF</t>
        </is>
      </c>
      <c r="C79" s="5" t="inlineStr">
        <is>
          <t xml:space="preserve">El sistema deberá seleccionar como punto de despacho aquel de menor costo total de servir.</t>
        </is>
      </c>
      <c r="D79" s="5" t="inlineStr">
        <is>
          <t xml:space="preserve">R:V-01</t>
        </is>
      </c>
      <c r="E79" s="5" t="inlineStr">
        <is>
          <t xml:space="preserve">Servicio de pedidos</t>
        </is>
      </c>
      <c r="F79" s="5" t="inlineStr">
        <is>
          <t xml:space="preserve">Retail</t>
        </is>
      </c>
      <c r="G79" s="4" t="inlineStr">
        <is>
          <t xml:space="preserve">2</t>
        </is>
      </c>
      <c r="H79" s="4" t="inlineStr">
        <is>
          <t xml:space="preserve">Media</t>
        </is>
      </c>
      <c r="I79" s="5" t="inlineStr">
        <is>
          <t xml:space="preserve">Retail</t>
        </is>
      </c>
      <c r="J79" s="5" t="inlineStr">
        <is>
          <t xml:space="preserve">—</t>
        </is>
      </c>
      <c r="K79" s="5" t="inlineStr">
        <is>
          <t xml:space="preserve">—</t>
        </is>
      </c>
      <c r="L79" s="5" t="inlineStr">
        <is>
          <t xml:space="preserve">RN-22</t>
        </is>
      </c>
      <c r="M79" s="5" t="inlineStr">
        <is>
          <t xml:space="preserve"/>
        </is>
      </c>
      <c r="N79" s="5" t="inlineStr">
        <is>
          <t xml:space="preserve">—</t>
        </is>
      </c>
      <c r="O79" s="5" t="inlineStr">
        <is>
          <t xml:space="preserve">RF-072</t>
        </is>
      </c>
    </row>
    <row r="80">
      <c r="A80" s="5" t="inlineStr">
        <is>
          <t xml:space="preserve">RF-078</t>
        </is>
      </c>
      <c r="B80" s="4" t="inlineStr">
        <is>
          <t xml:space="preserve">RF</t>
        </is>
      </c>
      <c r="C80" s="5" t="inlineStr">
        <is>
          <t xml:space="preserve">El sistema deberá registrar el valor de cada término del costo total de servir que fundamento la seleccion.</t>
        </is>
      </c>
      <c r="D80" s="5" t="inlineStr">
        <is>
          <t xml:space="preserve">R:V-01</t>
        </is>
      </c>
      <c r="E80" s="5" t="inlineStr">
        <is>
          <t xml:space="preserve">Servicio de pedidos</t>
        </is>
      </c>
      <c r="F80" s="5" t="inlineStr">
        <is>
          <t xml:space="preserve">Retail</t>
        </is>
      </c>
      <c r="G80" s="4" t="inlineStr">
        <is>
          <t xml:space="preserve">2</t>
        </is>
      </c>
      <c r="H80" s="4" t="inlineStr">
        <is>
          <t xml:space="preserve">Media</t>
        </is>
      </c>
      <c r="I80" s="5" t="inlineStr">
        <is>
          <t xml:space="preserve">Retail</t>
        </is>
      </c>
      <c r="J80" s="5" t="inlineStr">
        <is>
          <t xml:space="preserve">—</t>
        </is>
      </c>
      <c r="K80" s="5" t="inlineStr">
        <is>
          <t xml:space="preserve">—</t>
        </is>
      </c>
      <c r="L80" s="5" t="inlineStr">
        <is>
          <t xml:space="preserve">RN-22</t>
        </is>
      </c>
      <c r="M80" s="5" t="inlineStr">
        <is>
          <t xml:space="preserve"/>
        </is>
      </c>
      <c r="N80" s="5" t="inlineStr">
        <is>
          <t xml:space="preserve">—</t>
        </is>
      </c>
      <c r="O80" s="5" t="inlineStr">
        <is>
          <t xml:space="preserve">RF-073</t>
        </is>
      </c>
    </row>
    <row r="81">
      <c r="A81" s="5" t="inlineStr">
        <is>
          <t xml:space="preserve">RF-079</t>
        </is>
      </c>
      <c r="B81" s="4" t="inlineStr">
        <is>
          <t xml:space="preserve">RF</t>
        </is>
      </c>
      <c r="C81" s="5" t="inlineStr">
        <is>
          <t xml:space="preserve">El sistema deberá calcular la fecha prometida de entrega en función del punto de despacho, la capacidad de preparacion y el transportista asignado.</t>
        </is>
      </c>
      <c r="D81" s="5" t="inlineStr">
        <is>
          <t xml:space="preserve">R:V-01</t>
        </is>
      </c>
      <c r="E81" s="5" t="inlineStr">
        <is>
          <t xml:space="preserve">Servicio de pedidos</t>
        </is>
      </c>
      <c r="F81" s="5" t="inlineStr">
        <is>
          <t xml:space="preserve">Retail</t>
        </is>
      </c>
      <c r="G81" s="4" t="inlineStr">
        <is>
          <t xml:space="preserve">2</t>
        </is>
      </c>
      <c r="H81" s="4" t="inlineStr">
        <is>
          <t xml:space="preserve">Media</t>
        </is>
      </c>
      <c r="I81" s="5" t="inlineStr">
        <is>
          <t xml:space="preserve">Retail</t>
        </is>
      </c>
      <c r="J81" s="5" t="inlineStr">
        <is>
          <t xml:space="preserve">—</t>
        </is>
      </c>
      <c r="K81" s="5" t="inlineStr">
        <is>
          <t xml:space="preserve">—</t>
        </is>
      </c>
      <c r="L81" s="5" t="inlineStr">
        <is>
          <t xml:space="preserve">RN-24</t>
        </is>
      </c>
      <c r="M81" s="5" t="inlineStr">
        <is>
          <t xml:space="preserve"/>
        </is>
      </c>
      <c r="N81" s="5" t="inlineStr">
        <is>
          <t xml:space="preserve">—</t>
        </is>
      </c>
      <c r="O81" s="5" t="inlineStr">
        <is>
          <t xml:space="preserve">RF-074</t>
        </is>
      </c>
    </row>
    <row r="82">
      <c r="A82" s="5" t="inlineStr">
        <is>
          <t xml:space="preserve">RF-080</t>
        </is>
      </c>
      <c r="B82" s="4" t="inlineStr">
        <is>
          <t xml:space="preserve">RF</t>
        </is>
      </c>
      <c r="C82" s="5" t="inlineStr">
        <is>
          <t xml:space="preserve">El sistema deberá impedir la publicación de un plazo fijo de catálogo como fecha prometida de entrega.</t>
        </is>
      </c>
      <c r="D82" s="5" t="inlineStr">
        <is>
          <t xml:space="preserve">R:V-01</t>
        </is>
      </c>
      <c r="E82" s="5" t="inlineStr">
        <is>
          <t xml:space="preserve">Servicio de pedidos</t>
        </is>
      </c>
      <c r="F82" s="5" t="inlineStr">
        <is>
          <t xml:space="preserve">Retail</t>
        </is>
      </c>
      <c r="G82" s="4" t="inlineStr">
        <is>
          <t xml:space="preserve">2</t>
        </is>
      </c>
      <c r="H82" s="4" t="inlineStr">
        <is>
          <t xml:space="preserve">Media</t>
        </is>
      </c>
      <c r="I82" s="5" t="inlineStr">
        <is>
          <t xml:space="preserve">Retail</t>
        </is>
      </c>
      <c r="J82" s="5" t="inlineStr">
        <is>
          <t xml:space="preserve">—</t>
        </is>
      </c>
      <c r="K82" s="5" t="inlineStr">
        <is>
          <t xml:space="preserve">—</t>
        </is>
      </c>
      <c r="L82" s="5" t="inlineStr">
        <is>
          <t xml:space="preserve">RN-24</t>
        </is>
      </c>
      <c r="M82" s="5" t="inlineStr">
        <is>
          <t xml:space="preserve"/>
        </is>
      </c>
      <c r="N82" s="5" t="inlineStr">
        <is>
          <t xml:space="preserve">—</t>
        </is>
      </c>
      <c r="O82" s="5" t="inlineStr">
        <is>
          <t xml:space="preserve">RF-075</t>
        </is>
      </c>
    </row>
    <row r="83">
      <c r="A83" s="5" t="inlineStr">
        <is>
          <t xml:space="preserve">RF-081</t>
        </is>
      </c>
      <c r="B83" s="4" t="inlineStr">
        <is>
          <t xml:space="preserve">RF</t>
        </is>
      </c>
      <c r="C83" s="5" t="inlineStr">
        <is>
          <t xml:space="preserve">El sistema deberá calcular el cumplimiento de la promesa de entrega por pedido individual.</t>
        </is>
      </c>
      <c r="D83" s="5" t="inlineStr">
        <is>
          <t xml:space="preserve">R:V-01</t>
        </is>
      </c>
      <c r="E83" s="5" t="inlineStr">
        <is>
          <t xml:space="preserve">Servicio de pedidos</t>
        </is>
      </c>
      <c r="F83" s="5" t="inlineStr">
        <is>
          <t xml:space="preserve">Retail</t>
        </is>
      </c>
      <c r="G83" s="4" t="inlineStr">
        <is>
          <t xml:space="preserve">2</t>
        </is>
      </c>
      <c r="H83" s="4" t="inlineStr">
        <is>
          <t xml:space="preserve">Media</t>
        </is>
      </c>
      <c r="I83" s="5" t="inlineStr">
        <is>
          <t xml:space="preserve">Retail</t>
        </is>
      </c>
      <c r="J83" s="5" t="inlineStr">
        <is>
          <t xml:space="preserve">—</t>
        </is>
      </c>
      <c r="K83" s="5" t="inlineStr">
        <is>
          <t xml:space="preserve">—</t>
        </is>
      </c>
      <c r="L83" s="5" t="inlineStr">
        <is>
          <t xml:space="preserve">RN-24</t>
        </is>
      </c>
      <c r="M83" s="5" t="inlineStr">
        <is>
          <t xml:space="preserve"/>
        </is>
      </c>
      <c r="N83" s="5" t="inlineStr">
        <is>
          <t xml:space="preserve">—</t>
        </is>
      </c>
      <c r="O83" s="5" t="inlineStr">
        <is>
          <t xml:space="preserve">RF-076</t>
        </is>
      </c>
    </row>
    <row r="84">
      <c r="A84" s="5" t="inlineStr">
        <is>
          <t xml:space="preserve">RF-082</t>
        </is>
      </c>
      <c r="B84" s="4" t="inlineStr">
        <is>
          <t xml:space="preserve">RF</t>
        </is>
      </c>
      <c r="C84" s="5" t="inlineStr">
        <is>
          <t xml:space="preserve">El sistema deberá detectar la pérdida del enlace externo y conmutar automáticamente la tienda a modo desconectado.</t>
        </is>
      </c>
      <c r="D84" s="5" t="inlineStr">
        <is>
          <t xml:space="preserve">R:V-02</t>
        </is>
      </c>
      <c r="E84" s="5" t="inlineStr">
        <is>
          <t xml:space="preserve">Servicio de ventas</t>
        </is>
      </c>
      <c r="F84" s="5" t="inlineStr">
        <is>
          <t xml:space="preserve">Retail</t>
        </is>
      </c>
      <c r="G84" s="4" t="inlineStr">
        <is>
          <t xml:space="preserve">1</t>
        </is>
      </c>
      <c r="H84" s="4" t="inlineStr">
        <is>
          <t xml:space="preserve">Alta</t>
        </is>
      </c>
      <c r="I84" s="5" t="inlineStr">
        <is>
          <t xml:space="preserve">Retail</t>
        </is>
      </c>
      <c r="J84" s="5" t="inlineStr">
        <is>
          <t xml:space="preserve">—</t>
        </is>
      </c>
      <c r="K84" s="5" t="inlineStr">
        <is>
          <t xml:space="preserve">—</t>
        </is>
      </c>
      <c r="L84" s="5" t="inlineStr">
        <is>
          <t xml:space="preserve">RN-46</t>
        </is>
      </c>
      <c r="M84" s="5" t="inlineStr">
        <is>
          <t xml:space="preserve"/>
        </is>
      </c>
      <c r="N84" s="5" t="inlineStr">
        <is>
          <t xml:space="preserve">—</t>
        </is>
      </c>
      <c r="O84" s="5" t="inlineStr">
        <is>
          <t xml:space="preserve">RF-029.1</t>
        </is>
      </c>
    </row>
    <row r="85">
      <c r="A85" s="5" t="inlineStr">
        <is>
          <t xml:space="preserve">RF-083</t>
        </is>
      </c>
      <c r="B85" s="4" t="inlineStr">
        <is>
          <t xml:space="preserve">RF</t>
        </is>
      </c>
      <c r="C85" s="5" t="inlineStr">
        <is>
          <t xml:space="preserve">El sistema deberá permitir al cajero registrar una venta en modo desconectado.</t>
        </is>
      </c>
      <c r="D85" s="5" t="inlineStr">
        <is>
          <t xml:space="preserve">R:V-02</t>
        </is>
      </c>
      <c r="E85" s="5" t="inlineStr">
        <is>
          <t xml:space="preserve">Servicio de ventas</t>
        </is>
      </c>
      <c r="F85" s="5" t="inlineStr">
        <is>
          <t xml:space="preserve">Retail</t>
        </is>
      </c>
      <c r="G85" s="4" t="inlineStr">
        <is>
          <t xml:space="preserve">1</t>
        </is>
      </c>
      <c r="H85" s="4" t="inlineStr">
        <is>
          <t xml:space="preserve">Alta</t>
        </is>
      </c>
      <c r="I85" s="5" t="inlineStr">
        <is>
          <t xml:space="preserve">Retail</t>
        </is>
      </c>
      <c r="J85" s="5" t="inlineStr">
        <is>
          <t xml:space="preserve">—</t>
        </is>
      </c>
      <c r="K85" s="5" t="inlineStr">
        <is>
          <t xml:space="preserve">—</t>
        </is>
      </c>
      <c r="L85" s="5" t="inlineStr">
        <is>
          <t xml:space="preserve">RN-46</t>
        </is>
      </c>
      <c r="M85" s="5" t="inlineStr">
        <is>
          <t xml:space="preserve"/>
        </is>
      </c>
      <c r="N85" s="5" t="inlineStr">
        <is>
          <t xml:space="preserve">—</t>
        </is>
      </c>
      <c r="O85" s="5" t="inlineStr">
        <is>
          <t xml:space="preserve">RF-029.2</t>
        </is>
      </c>
    </row>
    <row r="86">
      <c r="A86" s="5" t="inlineStr">
        <is>
          <t xml:space="preserve">RF-084</t>
        </is>
      </c>
      <c r="B86" s="4" t="inlineStr">
        <is>
          <t xml:space="preserve">RF</t>
        </is>
      </c>
      <c r="C86" s="5" t="inlineStr">
        <is>
          <t xml:space="preserve">El sistema deberá permitir al cajero cobrar la venta en modo desconectado.</t>
        </is>
      </c>
      <c r="D86" s="5" t="inlineStr">
        <is>
          <t xml:space="preserve">R:V-02</t>
        </is>
      </c>
      <c r="E86" s="5" t="inlineStr">
        <is>
          <t xml:space="preserve">Servicio de ventas</t>
        </is>
      </c>
      <c r="F86" s="5" t="inlineStr">
        <is>
          <t xml:space="preserve">Retail</t>
        </is>
      </c>
      <c r="G86" s="4" t="inlineStr">
        <is>
          <t xml:space="preserve">1</t>
        </is>
      </c>
      <c r="H86" s="4" t="inlineStr">
        <is>
          <t xml:space="preserve">Alta</t>
        </is>
      </c>
      <c r="I86" s="5" t="inlineStr">
        <is>
          <t xml:space="preserve">Retail</t>
        </is>
      </c>
      <c r="J86" s="5" t="inlineStr">
        <is>
          <t xml:space="preserve">—</t>
        </is>
      </c>
      <c r="K86" s="5" t="inlineStr">
        <is>
          <t xml:space="preserve">—</t>
        </is>
      </c>
      <c r="L86" s="5" t="inlineStr">
        <is>
          <t xml:space="preserve">RN-46</t>
        </is>
      </c>
      <c r="M86" s="5" t="inlineStr">
        <is>
          <t xml:space="preserve"/>
        </is>
      </c>
      <c r="N86" s="5" t="inlineStr">
        <is>
          <t xml:space="preserve">—</t>
        </is>
      </c>
      <c r="O86" s="5" t="inlineStr">
        <is>
          <t xml:space="preserve">RF-029.3</t>
        </is>
      </c>
    </row>
    <row r="87">
      <c r="A87" s="5" t="inlineStr">
        <is>
          <t xml:space="preserve">RF-085</t>
        </is>
      </c>
      <c r="B87" s="4" t="inlineStr">
        <is>
          <t xml:space="preserve">RF</t>
        </is>
      </c>
      <c r="C87" s="5" t="inlineStr">
        <is>
          <t xml:space="preserve">El sistema deberá aplicar las promociones vigentes en modo desconectado, evaluadas según RF-032, RF-033 y RF-034.</t>
        </is>
      </c>
      <c r="D87" s="5" t="inlineStr">
        <is>
          <t xml:space="preserve">R:V-02</t>
        </is>
      </c>
      <c r="E87" s="5" t="inlineStr">
        <is>
          <t xml:space="preserve">Servicio de ventas</t>
        </is>
      </c>
      <c r="F87" s="5" t="inlineStr">
        <is>
          <t xml:space="preserve">Retail</t>
        </is>
      </c>
      <c r="G87" s="4" t="inlineStr">
        <is>
          <t xml:space="preserve">1</t>
        </is>
      </c>
      <c r="H87" s="4" t="inlineStr">
        <is>
          <t xml:space="preserve">Alta</t>
        </is>
      </c>
      <c r="I87" s="5" t="inlineStr">
        <is>
          <t xml:space="preserve">Retail</t>
        </is>
      </c>
      <c r="J87" s="5" t="inlineStr">
        <is>
          <t xml:space="preserve">—</t>
        </is>
      </c>
      <c r="K87" s="5" t="inlineStr">
        <is>
          <t xml:space="preserve">—</t>
        </is>
      </c>
      <c r="L87" s="5" t="inlineStr">
        <is>
          <t xml:space="preserve">RN-46, RN-20</t>
        </is>
      </c>
      <c r="M87" s="5" t="inlineStr">
        <is>
          <t xml:space="preserve">El punto de venta aplica la promoción con datos del servicio de oferta comercial.</t>
        </is>
      </c>
      <c r="N87" s="5" t="inlineStr">
        <is>
          <t xml:space="preserve">—</t>
        </is>
      </c>
      <c r="O87" s="5" t="inlineStr">
        <is>
          <t xml:space="preserve">RF-029.4</t>
        </is>
      </c>
    </row>
    <row r="88">
      <c r="A88" s="5" t="inlineStr">
        <is>
          <t xml:space="preserve">RF-086</t>
        </is>
      </c>
      <c r="B88" s="4" t="inlineStr">
        <is>
          <t xml:space="preserve">RF</t>
        </is>
      </c>
      <c r="C88" s="5" t="inlineStr">
        <is>
          <t xml:space="preserve">El sistema deberá emitir el documento de venta en contingencia utilizando folios previamente asignados por el sistema de gestión empresarial.</t>
        </is>
      </c>
      <c r="D88" s="5" t="inlineStr">
        <is>
          <t xml:space="preserve">R:V-02</t>
        </is>
      </c>
      <c r="E88" s="5" t="inlineStr">
        <is>
          <t xml:space="preserve">Servicio de ventas</t>
        </is>
      </c>
      <c r="F88" s="5" t="inlineStr">
        <is>
          <t xml:space="preserve">Retail</t>
        </is>
      </c>
      <c r="G88" s="4" t="inlineStr">
        <is>
          <t xml:space="preserve">1</t>
        </is>
      </c>
      <c r="H88" s="4" t="inlineStr">
        <is>
          <t xml:space="preserve">Alta</t>
        </is>
      </c>
      <c r="I88" s="5" t="inlineStr">
        <is>
          <t xml:space="preserve">Retail</t>
        </is>
      </c>
      <c r="J88" s="5" t="inlineStr">
        <is>
          <t xml:space="preserve">—</t>
        </is>
      </c>
      <c r="K88" s="5" t="inlineStr">
        <is>
          <t xml:space="preserve">—</t>
        </is>
      </c>
      <c r="L88" s="5" t="inlineStr">
        <is>
          <t xml:space="preserve">RN-46, RN-49</t>
        </is>
      </c>
      <c r="M88" s="5" t="inlineStr">
        <is>
          <t xml:space="preserve"/>
        </is>
      </c>
      <c r="N88" s="5" t="inlineStr">
        <is>
          <t xml:space="preserve">—</t>
        </is>
      </c>
      <c r="O88" s="5" t="inlineStr">
        <is>
          <t xml:space="preserve">RF-029.5</t>
        </is>
      </c>
    </row>
    <row r="89">
      <c r="A89" s="5" t="inlineStr">
        <is>
          <t xml:space="preserve">RF-087</t>
        </is>
      </c>
      <c r="B89" s="4" t="inlineStr">
        <is>
          <t xml:space="preserve">RF</t>
        </is>
      </c>
      <c r="C89" s="5" t="inlineStr">
        <is>
          <t xml:space="preserve">El sistema deberá permitir al vendedor consultar la existencia local de la tienda en modo desconectado.</t>
        </is>
      </c>
      <c r="D89" s="5" t="inlineStr">
        <is>
          <t xml:space="preserve">R:M-03</t>
        </is>
      </c>
      <c r="E89" s="5" t="inlineStr">
        <is>
          <t xml:space="preserve">Servicio de existencias</t>
        </is>
      </c>
      <c r="F89" s="5" t="inlineStr">
        <is>
          <t xml:space="preserve">Retail</t>
        </is>
      </c>
      <c r="G89" s="4" t="inlineStr">
        <is>
          <t xml:space="preserve">1</t>
        </is>
      </c>
      <c r="H89" s="4" t="inlineStr">
        <is>
          <t xml:space="preserve">Alta</t>
        </is>
      </c>
      <c r="I89" s="5" t="inlineStr">
        <is>
          <t xml:space="preserve">Retail</t>
        </is>
      </c>
      <c r="J89" s="5" t="inlineStr">
        <is>
          <t xml:space="preserve">—</t>
        </is>
      </c>
      <c r="K89" s="5" t="inlineStr">
        <is>
          <t xml:space="preserve">—</t>
        </is>
      </c>
      <c r="L89" s="5" t="inlineStr">
        <is>
          <t xml:space="preserve">RN-46</t>
        </is>
      </c>
      <c r="M89" s="5" t="inlineStr">
        <is>
          <t xml:space="preserve"/>
        </is>
      </c>
      <c r="N89" s="5" t="inlineStr">
        <is>
          <t xml:space="preserve">—</t>
        </is>
      </c>
      <c r="O89" s="5" t="inlineStr">
        <is>
          <t xml:space="preserve">RF-029.6</t>
        </is>
      </c>
    </row>
    <row r="90">
      <c r="A90" s="5" t="inlineStr">
        <is>
          <t xml:space="preserve">RF-088</t>
        </is>
      </c>
      <c r="B90" s="4" t="inlineStr">
        <is>
          <t xml:space="preserve">RF</t>
        </is>
      </c>
      <c r="C90" s="5" t="inlineStr">
        <is>
          <t xml:space="preserve">El sistema deberá detectar el restablecimiento del enlace y conmutar la tienda a modo conectado.</t>
        </is>
      </c>
      <c r="D90" s="5" t="inlineStr">
        <is>
          <t xml:space="preserve">R:V-02</t>
        </is>
      </c>
      <c r="E90" s="5" t="inlineStr">
        <is>
          <t xml:space="preserve">Servicio de ventas</t>
        </is>
      </c>
      <c r="F90" s="5" t="inlineStr">
        <is>
          <t xml:space="preserve">Retail</t>
        </is>
      </c>
      <c r="G90" s="4" t="inlineStr">
        <is>
          <t xml:space="preserve">1</t>
        </is>
      </c>
      <c r="H90" s="4" t="inlineStr">
        <is>
          <t xml:space="preserve">Alta</t>
        </is>
      </c>
      <c r="I90" s="5" t="inlineStr">
        <is>
          <t xml:space="preserve">Retail</t>
        </is>
      </c>
      <c r="J90" s="5" t="inlineStr">
        <is>
          <t xml:space="preserve">—</t>
        </is>
      </c>
      <c r="K90" s="5" t="inlineStr">
        <is>
          <t xml:space="preserve">—</t>
        </is>
      </c>
      <c r="L90" s="5" t="inlineStr">
        <is>
          <t xml:space="preserve">RN-48</t>
        </is>
      </c>
      <c r="M90" s="5" t="inlineStr">
        <is>
          <t xml:space="preserve"/>
        </is>
      </c>
      <c r="N90" s="5" t="inlineStr">
        <is>
          <t xml:space="preserve">—</t>
        </is>
      </c>
      <c r="O90" s="5" t="inlineStr">
        <is>
          <t xml:space="preserve">RF-029.7</t>
        </is>
      </c>
    </row>
    <row r="91">
      <c r="A91" s="5" t="inlineStr">
        <is>
          <t xml:space="preserve">RF-089</t>
        </is>
      </c>
      <c r="B91" s="4" t="inlineStr">
        <is>
          <t xml:space="preserve">RF</t>
        </is>
      </c>
      <c r="C91" s="5" t="inlineStr">
        <is>
          <t xml:space="preserve">El sistema deberá permitir el otorgamiento de crédito en modo desconectado exclusivamente contra cupo preaprobado vigente almacenado en caché local.</t>
        </is>
      </c>
      <c r="D91" s="5" t="inlineStr">
        <is>
          <t xml:space="preserve">F:C-01</t>
        </is>
      </c>
      <c r="E91" s="5" t="inlineStr">
        <is>
          <t xml:space="preserve">Servicio de originación de crédito</t>
        </is>
      </c>
      <c r="F91" s="5" t="inlineStr">
        <is>
          <t xml:space="preserve">Filial emisora</t>
        </is>
      </c>
      <c r="G91" s="4" t="inlineStr">
        <is>
          <t xml:space="preserve">1</t>
        </is>
      </c>
      <c r="H91" s="4" t="inlineStr">
        <is>
          <t xml:space="preserve">Alta</t>
        </is>
      </c>
      <c r="I91" s="5" t="inlineStr">
        <is>
          <t xml:space="preserve">Filial emisora</t>
        </is>
      </c>
      <c r="J91" s="5" t="inlineStr">
        <is>
          <t xml:space="preserve">—</t>
        </is>
      </c>
      <c r="K91" s="5" t="inlineStr">
        <is>
          <t xml:space="preserve">—</t>
        </is>
      </c>
      <c r="L91" s="5" t="inlineStr">
        <is>
          <t xml:space="preserve">RN-47</t>
        </is>
      </c>
      <c r="M91" s="5" t="inlineStr">
        <is>
          <t xml:space="preserve">Condicionado al crédito sin conexión (EXC-16, plan alternativo de la subsección 3.2.3). Si la prueba falla, la función se declara no disponible (RT-03.13).</t>
        </is>
      </c>
      <c r="N91" s="5" t="inlineStr">
        <is>
          <t xml:space="preserve">—</t>
        </is>
      </c>
      <c r="O91" s="5" t="inlineStr">
        <is>
          <t xml:space="preserve">RF-104</t>
        </is>
      </c>
    </row>
    <row r="92">
      <c r="A92" s="5" t="inlineStr">
        <is>
          <t xml:space="preserve">RF-090</t>
        </is>
      </c>
      <c r="B92" s="4" t="inlineStr">
        <is>
          <t xml:space="preserve">RF</t>
        </is>
      </c>
      <c r="C92" s="5" t="inlineStr">
        <is>
          <t xml:space="preserve">El sistema deberá aplicar el tope de monto parametrizado a cada operación de crédito cursada en modo desconectado.</t>
        </is>
      </c>
      <c r="D92" s="5" t="inlineStr">
        <is>
          <t xml:space="preserve">F:C-01</t>
        </is>
      </c>
      <c r="E92" s="5" t="inlineStr">
        <is>
          <t xml:space="preserve">Servicio de originación de crédito</t>
        </is>
      </c>
      <c r="F92" s="5" t="inlineStr">
        <is>
          <t xml:space="preserve">Filial emisora</t>
        </is>
      </c>
      <c r="G92" s="4" t="inlineStr">
        <is>
          <t xml:space="preserve">1</t>
        </is>
      </c>
      <c r="H92" s="4" t="inlineStr">
        <is>
          <t xml:space="preserve">Alta</t>
        </is>
      </c>
      <c r="I92" s="5" t="inlineStr">
        <is>
          <t xml:space="preserve">Filial emisora</t>
        </is>
      </c>
      <c r="J92" s="5" t="inlineStr">
        <is>
          <t xml:space="preserve">—</t>
        </is>
      </c>
      <c r="K92" s="5" t="inlineStr">
        <is>
          <t xml:space="preserve">—</t>
        </is>
      </c>
      <c r="L92" s="5" t="inlineStr">
        <is>
          <t xml:space="preserve">RN-47</t>
        </is>
      </c>
      <c r="M92" s="5" t="inlineStr">
        <is>
          <t xml:space="preserve">Condicionado al crédito sin conexión (EXC-16, plan alternativo de la subsección 3.2.3). Si la prueba falla, la función se declara no disponible (RT-03.13).</t>
        </is>
      </c>
      <c r="N92" s="5" t="inlineStr">
        <is>
          <t xml:space="preserve">—</t>
        </is>
      </c>
      <c r="O92" s="5" t="inlineStr">
        <is>
          <t xml:space="preserve">RF-105</t>
        </is>
      </c>
    </row>
    <row r="93">
      <c r="A93" s="5" t="inlineStr">
        <is>
          <t xml:space="preserve">RF-091</t>
        </is>
      </c>
      <c r="B93" s="4" t="inlineStr">
        <is>
          <t xml:space="preserve">RF</t>
        </is>
      </c>
      <c r="C93" s="5" t="inlineStr">
        <is>
          <t xml:space="preserve">El sistema deberá aplicar el tope parametrizado de número de operaciones de crédito en modo desconectado.</t>
        </is>
      </c>
      <c r="D93" s="5" t="inlineStr">
        <is>
          <t xml:space="preserve">F:C-01</t>
        </is>
      </c>
      <c r="E93" s="5" t="inlineStr">
        <is>
          <t xml:space="preserve">Servicio de originación de crédito</t>
        </is>
      </c>
      <c r="F93" s="5" t="inlineStr">
        <is>
          <t xml:space="preserve">Filial emisora</t>
        </is>
      </c>
      <c r="G93" s="4" t="inlineStr">
        <is>
          <t xml:space="preserve">1</t>
        </is>
      </c>
      <c r="H93" s="4" t="inlineStr">
        <is>
          <t xml:space="preserve">Alta</t>
        </is>
      </c>
      <c r="I93" s="5" t="inlineStr">
        <is>
          <t xml:space="preserve">Filial emisora</t>
        </is>
      </c>
      <c r="J93" s="5" t="inlineStr">
        <is>
          <t xml:space="preserve">—</t>
        </is>
      </c>
      <c r="K93" s="5" t="inlineStr">
        <is>
          <t xml:space="preserve">—</t>
        </is>
      </c>
      <c r="L93" s="5" t="inlineStr">
        <is>
          <t xml:space="preserve">RN-47</t>
        </is>
      </c>
      <c r="M93" s="5" t="inlineStr">
        <is>
          <t xml:space="preserve">Condicionado al crédito sin conexión (EXC-16, plan alternativo de la subsección 3.2.3). Si la prueba falla, la función se declara no disponible (RT-03.13).</t>
        </is>
      </c>
      <c r="N93" s="5" t="inlineStr">
        <is>
          <t xml:space="preserve">—</t>
        </is>
      </c>
      <c r="O93" s="5" t="inlineStr">
        <is>
          <t xml:space="preserve">RF-106</t>
        </is>
      </c>
    </row>
    <row r="94">
      <c r="A94" s="5" t="inlineStr">
        <is>
          <t xml:space="preserve">RF-092</t>
        </is>
      </c>
      <c r="B94" s="4" t="inlineStr">
        <is>
          <t xml:space="preserve">RF</t>
        </is>
      </c>
      <c r="C94" s="5" t="inlineStr">
        <is>
          <t xml:space="preserve">El sistema deberá impedir la apertura de una tarjeta nueva en modo desconectado.</t>
        </is>
      </c>
      <c r="D94" s="5" t="inlineStr">
        <is>
          <t xml:space="preserve">F:C-01</t>
        </is>
      </c>
      <c r="E94" s="5" t="inlineStr">
        <is>
          <t xml:space="preserve">Servicio de originación de crédito</t>
        </is>
      </c>
      <c r="F94" s="5" t="inlineStr">
        <is>
          <t xml:space="preserve">Filial emisora</t>
        </is>
      </c>
      <c r="G94" s="4" t="inlineStr">
        <is>
          <t xml:space="preserve">1</t>
        </is>
      </c>
      <c r="H94" s="4" t="inlineStr">
        <is>
          <t xml:space="preserve">Alta</t>
        </is>
      </c>
      <c r="I94" s="5" t="inlineStr">
        <is>
          <t xml:space="preserve">Filial emisora</t>
        </is>
      </c>
      <c r="J94" s="5" t="inlineStr">
        <is>
          <t xml:space="preserve">—</t>
        </is>
      </c>
      <c r="K94" s="5" t="inlineStr">
        <is>
          <t xml:space="preserve">—</t>
        </is>
      </c>
      <c r="L94" s="5" t="inlineStr">
        <is>
          <t xml:space="preserve">RN-47</t>
        </is>
      </c>
      <c r="M94" s="5" t="inlineStr">
        <is>
          <t xml:space="preserve">Aplica EXC-16: no hay apertura ni ampliación de cupo sin conexión.</t>
        </is>
      </c>
      <c r="N94" s="5" t="inlineStr">
        <is>
          <t xml:space="preserve">—</t>
        </is>
      </c>
      <c r="O94" s="5" t="inlineStr">
        <is>
          <t xml:space="preserve">RF-107</t>
        </is>
      </c>
    </row>
    <row r="95">
      <c r="A95" s="5" t="inlineStr">
        <is>
          <t xml:space="preserve">RF-093</t>
        </is>
      </c>
      <c r="B95" s="4" t="inlineStr">
        <is>
          <t xml:space="preserve">RF</t>
        </is>
      </c>
      <c r="C95" s="5" t="inlineStr">
        <is>
          <t xml:space="preserve">El sistema deberá impedir la ampliación de cupo en modo desconectado.</t>
        </is>
      </c>
      <c r="D95" s="5" t="inlineStr">
        <is>
          <t xml:space="preserve">F:C-01</t>
        </is>
      </c>
      <c r="E95" s="5" t="inlineStr">
        <is>
          <t xml:space="preserve">Servicio de originación de crédito</t>
        </is>
      </c>
      <c r="F95" s="5" t="inlineStr">
        <is>
          <t xml:space="preserve">Filial emisora</t>
        </is>
      </c>
      <c r="G95" s="4" t="inlineStr">
        <is>
          <t xml:space="preserve">1</t>
        </is>
      </c>
      <c r="H95" s="4" t="inlineStr">
        <is>
          <t xml:space="preserve">Alta</t>
        </is>
      </c>
      <c r="I95" s="5" t="inlineStr">
        <is>
          <t xml:space="preserve">Filial emisora</t>
        </is>
      </c>
      <c r="J95" s="5" t="inlineStr">
        <is>
          <t xml:space="preserve">—</t>
        </is>
      </c>
      <c r="K95" s="5" t="inlineStr">
        <is>
          <t xml:space="preserve">—</t>
        </is>
      </c>
      <c r="L95" s="5" t="inlineStr">
        <is>
          <t xml:space="preserve">RN-47</t>
        </is>
      </c>
      <c r="M95" s="5" t="inlineStr">
        <is>
          <t xml:space="preserve">Aplica EXC-16: no hay apertura ni ampliación de cupo sin conexión.</t>
        </is>
      </c>
      <c r="N95" s="5" t="inlineStr">
        <is>
          <t xml:space="preserve">—</t>
        </is>
      </c>
      <c r="O95" s="5" t="inlineStr">
        <is>
          <t xml:space="preserve">RF-108</t>
        </is>
      </c>
    </row>
    <row r="96">
      <c r="A96" s="5" t="inlineStr">
        <is>
          <t xml:space="preserve">RF-094</t>
        </is>
      </c>
      <c r="B96" s="4" t="inlineStr">
        <is>
          <t xml:space="preserve">RF</t>
        </is>
      </c>
      <c r="C96" s="5" t="inlineStr">
        <is>
          <t xml:space="preserve">El sistema deberá marcar la operación como cursada en modo desconectado para su validación posterior.</t>
        </is>
      </c>
      <c r="D96" s="5" t="inlineStr">
        <is>
          <t xml:space="preserve">R:V-02</t>
        </is>
      </c>
      <c r="E96" s="5" t="inlineStr">
        <is>
          <t xml:space="preserve">Servicio de ventas</t>
        </is>
      </c>
      <c r="F96" s="5" t="inlineStr">
        <is>
          <t xml:space="preserve">Retail</t>
        </is>
      </c>
      <c r="G96" s="4" t="inlineStr">
        <is>
          <t xml:space="preserve">1</t>
        </is>
      </c>
      <c r="H96" s="4" t="inlineStr">
        <is>
          <t xml:space="preserve">Alta</t>
        </is>
      </c>
      <c r="I96" s="5" t="inlineStr">
        <is>
          <t xml:space="preserve">Retail</t>
        </is>
      </c>
      <c r="J96" s="5" t="inlineStr">
        <is>
          <t xml:space="preserve">—</t>
        </is>
      </c>
      <c r="K96" s="5" t="inlineStr">
        <is>
          <t xml:space="preserve">—</t>
        </is>
      </c>
      <c r="L96" s="5" t="inlineStr">
        <is>
          <t xml:space="preserve">RN-47, RN-48</t>
        </is>
      </c>
      <c r="M96" s="5" t="inlineStr">
        <is>
          <t xml:space="preserve">Condicionado al crédito sin conexión (EXC-16, plan alternativo de la subsección 3.2.3). Si la prueba falla, la función se declara no disponible (RT-03.13).</t>
        </is>
      </c>
      <c r="N96" s="5" t="inlineStr">
        <is>
          <t xml:space="preserve">—</t>
        </is>
      </c>
      <c r="O96" s="5" t="inlineStr">
        <is>
          <t xml:space="preserve">RF-109</t>
        </is>
      </c>
    </row>
    <row r="97">
      <c r="A97" s="5" t="inlineStr">
        <is>
          <t xml:space="preserve">RF-095</t>
        </is>
      </c>
      <c r="B97" s="4" t="inlineStr">
        <is>
          <t xml:space="preserve">RF</t>
        </is>
      </c>
      <c r="C97" s="5" t="inlineStr">
        <is>
          <t xml:space="preserve">El sistema debe reconciliar hacia los sistemas centrales la totalidad de las ventas registradas en modo desconectado.</t>
        </is>
      </c>
      <c r="D97" s="5" t="inlineStr">
        <is>
          <t xml:space="preserve">R:V-02</t>
        </is>
      </c>
      <c r="E97" s="5" t="inlineStr">
        <is>
          <t xml:space="preserve">Servicio de ventas</t>
        </is>
      </c>
      <c r="F97" s="5" t="inlineStr">
        <is>
          <t xml:space="preserve">Retail</t>
        </is>
      </c>
      <c r="G97" s="4" t="inlineStr">
        <is>
          <t xml:space="preserve">1</t>
        </is>
      </c>
      <c r="H97" s="4" t="inlineStr">
        <is>
          <t xml:space="preserve">Alta</t>
        </is>
      </c>
      <c r="I97" s="5" t="inlineStr">
        <is>
          <t xml:space="preserve">Retail</t>
        </is>
      </c>
      <c r="J97" s="5" t="inlineStr">
        <is>
          <t xml:space="preserve">—</t>
        </is>
      </c>
      <c r="K97" s="5" t="inlineStr">
        <is>
          <t xml:space="preserve">—</t>
        </is>
      </c>
      <c r="L97" s="5" t="inlineStr">
        <is>
          <t xml:space="preserve">RN-48</t>
        </is>
      </c>
      <c r="M97" s="5" t="inlineStr">
        <is>
          <t xml:space="preserve"/>
        </is>
      </c>
      <c r="N97" s="5" t="inlineStr">
        <is>
          <t xml:space="preserve">RF-110</t>
        </is>
      </c>
      <c r="O97" s="5" t="inlineStr">
        <is>
          <t xml:space="preserve">RF-110a</t>
        </is>
      </c>
    </row>
    <row r="98">
      <c r="A98" s="5" t="inlineStr">
        <is>
          <t xml:space="preserve">RF-096</t>
        </is>
      </c>
      <c r="B98" s="4" t="inlineStr">
        <is>
          <t xml:space="preserve">RF</t>
        </is>
      </c>
      <c r="C98" s="5" t="inlineStr">
        <is>
          <t xml:space="preserve">El sistema debe reconciliar hacia los sistemas centrales la totalidad de los documentos emitidos en modo desconectado.</t>
        </is>
      </c>
      <c r="D98" s="5" t="inlineStr">
        <is>
          <t xml:space="preserve">R:V-02</t>
        </is>
      </c>
      <c r="E98" s="5" t="inlineStr">
        <is>
          <t xml:space="preserve">Servicio de ventas</t>
        </is>
      </c>
      <c r="F98" s="5" t="inlineStr">
        <is>
          <t xml:space="preserve">Retail</t>
        </is>
      </c>
      <c r="G98" s="4" t="inlineStr">
        <is>
          <t xml:space="preserve">1</t>
        </is>
      </c>
      <c r="H98" s="4" t="inlineStr">
        <is>
          <t xml:space="preserve">Alta</t>
        </is>
      </c>
      <c r="I98" s="5" t="inlineStr">
        <is>
          <t xml:space="preserve">Retail</t>
        </is>
      </c>
      <c r="J98" s="5" t="inlineStr">
        <is>
          <t xml:space="preserve">—</t>
        </is>
      </c>
      <c r="K98" s="5" t="inlineStr">
        <is>
          <t xml:space="preserve">—</t>
        </is>
      </c>
      <c r="L98" s="5" t="inlineStr">
        <is>
          <t xml:space="preserve">RN-48</t>
        </is>
      </c>
      <c r="M98" s="5" t="inlineStr">
        <is>
          <t xml:space="preserve"/>
        </is>
      </c>
      <c r="N98" s="5" t="inlineStr">
        <is>
          <t xml:space="preserve">RF-110</t>
        </is>
      </c>
      <c r="O98" s="5" t="inlineStr">
        <is>
          <t xml:space="preserve">RF-110b</t>
        </is>
      </c>
    </row>
    <row r="99">
      <c r="A99" s="5" t="inlineStr">
        <is>
          <t xml:space="preserve">RF-097</t>
        </is>
      </c>
      <c r="B99" s="4" t="inlineStr">
        <is>
          <t xml:space="preserve">RF</t>
        </is>
      </c>
      <c r="C99" s="5" t="inlineStr">
        <is>
          <t xml:space="preserve">El sistema deberá procesar la reconciliación de forma idempotente, impidiendo la duplicación de ventas o documentos ante reintentos.</t>
        </is>
      </c>
      <c r="D99" s="5" t="inlineStr">
        <is>
          <t xml:space="preserve">R:V-02</t>
        </is>
      </c>
      <c r="E99" s="5" t="inlineStr">
        <is>
          <t xml:space="preserve">Servicio de ventas</t>
        </is>
      </c>
      <c r="F99" s="5" t="inlineStr">
        <is>
          <t xml:space="preserve">Retail</t>
        </is>
      </c>
      <c r="G99" s="4" t="inlineStr">
        <is>
          <t xml:space="preserve">1</t>
        </is>
      </c>
      <c r="H99" s="4" t="inlineStr">
        <is>
          <t xml:space="preserve">Alta</t>
        </is>
      </c>
      <c r="I99" s="5" t="inlineStr">
        <is>
          <t xml:space="preserve">Retail</t>
        </is>
      </c>
      <c r="J99" s="5" t="inlineStr">
        <is>
          <t xml:space="preserve">—</t>
        </is>
      </c>
      <c r="K99" s="5" t="inlineStr">
        <is>
          <t xml:space="preserve">—</t>
        </is>
      </c>
      <c r="L99" s="5" t="inlineStr">
        <is>
          <t xml:space="preserve">RN-48</t>
        </is>
      </c>
      <c r="M99" s="5" t="inlineStr">
        <is>
          <t xml:space="preserve"/>
        </is>
      </c>
      <c r="N99" s="5" t="inlineStr">
        <is>
          <t xml:space="preserve">—</t>
        </is>
      </c>
      <c r="O99" s="5" t="inlineStr">
        <is>
          <t xml:space="preserve">RF-111</t>
        </is>
      </c>
    </row>
    <row r="100">
      <c r="A100" s="5" t="inlineStr">
        <is>
          <t xml:space="preserve">RF-098</t>
        </is>
      </c>
      <c r="B100" s="4" t="inlineStr">
        <is>
          <t xml:space="preserve">RF</t>
        </is>
      </c>
      <c r="C100" s="5" t="inlineStr">
        <is>
          <t xml:space="preserve">El sistema deberá resolver el conflicto de existencia comprometida aplicando la regla de precedencia declarada, produciendo el mismo resultado ante repetición.</t>
        </is>
      </c>
      <c r="D100" s="5" t="inlineStr">
        <is>
          <t xml:space="preserve">R:M-03</t>
        </is>
      </c>
      <c r="E100" s="5" t="inlineStr">
        <is>
          <t xml:space="preserve">Servicio de existencias</t>
        </is>
      </c>
      <c r="F100" s="5" t="inlineStr">
        <is>
          <t xml:space="preserve">Retail</t>
        </is>
      </c>
      <c r="G100" s="4" t="inlineStr">
        <is>
          <t xml:space="preserve">1</t>
        </is>
      </c>
      <c r="H100" s="4" t="inlineStr">
        <is>
          <t xml:space="preserve">Alta</t>
        </is>
      </c>
      <c r="I100" s="5" t="inlineStr">
        <is>
          <t xml:space="preserve">Retail</t>
        </is>
      </c>
      <c r="J100" s="5" t="inlineStr">
        <is>
          <t xml:space="preserve">—</t>
        </is>
      </c>
      <c r="K100" s="5" t="inlineStr">
        <is>
          <t xml:space="preserve">—</t>
        </is>
      </c>
      <c r="L100" s="5" t="inlineStr">
        <is>
          <t xml:space="preserve">RN-48, RN-08</t>
        </is>
      </c>
      <c r="M100" s="5" t="inlineStr">
        <is>
          <t xml:space="preserve"/>
        </is>
      </c>
      <c r="N100" s="5" t="inlineStr">
        <is>
          <t xml:space="preserve">—</t>
        </is>
      </c>
      <c r="O100" s="5" t="inlineStr">
        <is>
          <t xml:space="preserve">RF-112</t>
        </is>
      </c>
    </row>
    <row r="101">
      <c r="A101" s="5" t="inlineStr">
        <is>
          <t xml:space="preserve">RF-099</t>
        </is>
      </c>
      <c r="B101" s="4" t="inlineStr">
        <is>
          <t xml:space="preserve">RF</t>
        </is>
      </c>
      <c r="C101" s="5" t="inlineStr">
        <is>
          <t xml:space="preserve">El sistema deberá generar un informe de excepciones de la reconciliación, identificando cada conflicto resuelto y su regla aplicada.</t>
        </is>
      </c>
      <c r="D101" s="5" t="inlineStr">
        <is>
          <t xml:space="preserve">R:V-02</t>
        </is>
      </c>
      <c r="E101" s="5" t="inlineStr">
        <is>
          <t xml:space="preserve">Servicio de ventas</t>
        </is>
      </c>
      <c r="F101" s="5" t="inlineStr">
        <is>
          <t xml:space="preserve">Retail</t>
        </is>
      </c>
      <c r="G101" s="4" t="inlineStr">
        <is>
          <t xml:space="preserve">1</t>
        </is>
      </c>
      <c r="H101" s="4" t="inlineStr">
        <is>
          <t xml:space="preserve">Alta</t>
        </is>
      </c>
      <c r="I101" s="5" t="inlineStr">
        <is>
          <t xml:space="preserve">Retail</t>
        </is>
      </c>
      <c r="J101" s="5" t="inlineStr">
        <is>
          <t xml:space="preserve">—</t>
        </is>
      </c>
      <c r="K101" s="5" t="inlineStr">
        <is>
          <t xml:space="preserve">—</t>
        </is>
      </c>
      <c r="L101" s="5" t="inlineStr">
        <is>
          <t xml:space="preserve">RN-48</t>
        </is>
      </c>
      <c r="M101" s="5" t="inlineStr">
        <is>
          <t xml:space="preserve"/>
        </is>
      </c>
      <c r="N101" s="5" t="inlineStr">
        <is>
          <t xml:space="preserve">—</t>
        </is>
      </c>
      <c r="O101" s="5" t="inlineStr">
        <is>
          <t xml:space="preserve">RF-113</t>
        </is>
      </c>
    </row>
    <row r="102">
      <c r="A102" s="5" t="inlineStr">
        <is>
          <t xml:space="preserve">RF-100</t>
        </is>
      </c>
      <c r="B102" s="4" t="inlineStr">
        <is>
          <t xml:space="preserve">RF</t>
        </is>
      </c>
      <c r="C102" s="5" t="inlineStr">
        <is>
          <t xml:space="preserve">El sistema deberá enrutar la emisión de todo documento tributario hacia el sistema de gestión empresarial como único emisor.</t>
        </is>
      </c>
      <c r="D102" s="5" t="inlineStr">
        <is>
          <t xml:space="preserve">R:V-02</t>
        </is>
      </c>
      <c r="E102" s="5" t="inlineStr">
        <is>
          <t xml:space="preserve">Servicio de ventas</t>
        </is>
      </c>
      <c r="F102" s="5" t="inlineStr">
        <is>
          <t xml:space="preserve">Retail</t>
        </is>
      </c>
      <c r="G102" s="4" t="inlineStr">
        <is>
          <t xml:space="preserve">1</t>
        </is>
      </c>
      <c r="H102" s="4" t="inlineStr">
        <is>
          <t xml:space="preserve">Alta</t>
        </is>
      </c>
      <c r="I102" s="5" t="inlineStr">
        <is>
          <t xml:space="preserve">Retail</t>
        </is>
      </c>
      <c r="J102" s="5" t="inlineStr">
        <is>
          <t xml:space="preserve">—</t>
        </is>
      </c>
      <c r="K102" s="5" t="inlineStr">
        <is>
          <t xml:space="preserve">—</t>
        </is>
      </c>
      <c r="L102" s="5" t="inlineStr">
        <is>
          <t xml:space="preserve">RN-49</t>
        </is>
      </c>
      <c r="M102" s="5" t="inlineStr">
        <is>
          <t xml:space="preserve"/>
        </is>
      </c>
      <c r="N102" s="5" t="inlineStr">
        <is>
          <t xml:space="preserve">—</t>
        </is>
      </c>
      <c r="O102" s="5" t="inlineStr">
        <is>
          <t xml:space="preserve">RF-114</t>
        </is>
      </c>
    </row>
    <row r="103">
      <c r="A103" s="5" t="inlineStr">
        <is>
          <t xml:space="preserve">RF-101</t>
        </is>
      </c>
      <c r="B103" s="4" t="inlineStr">
        <is>
          <t xml:space="preserve">RF</t>
        </is>
      </c>
      <c r="C103" s="5" t="inlineStr">
        <is>
          <t xml:space="preserve">El sistema deberá permitir al vendedor de piso consultar la disponibilidad para vender de una referencia.</t>
        </is>
      </c>
      <c r="D103" s="5" t="inlineStr">
        <is>
          <t xml:space="preserve">R:M-03</t>
        </is>
      </c>
      <c r="E103" s="5" t="inlineStr">
        <is>
          <t xml:space="preserve">Servicio de existencias</t>
        </is>
      </c>
      <c r="F103" s="5" t="inlineStr">
        <is>
          <t xml:space="preserve">Retail</t>
        </is>
      </c>
      <c r="G103" s="4" t="inlineStr">
        <is>
          <t xml:space="preserve">1</t>
        </is>
      </c>
      <c r="H103" s="4" t="inlineStr">
        <is>
          <t xml:space="preserve">Alta</t>
        </is>
      </c>
      <c r="I103" s="5" t="inlineStr">
        <is>
          <t xml:space="preserve">Retail</t>
        </is>
      </c>
      <c r="J103" s="5" t="inlineStr">
        <is>
          <t xml:space="preserve">—</t>
        </is>
      </c>
      <c r="K103" s="5" t="inlineStr">
        <is>
          <t xml:space="preserve">—</t>
        </is>
      </c>
      <c r="L103" s="5" t="inlineStr">
        <is>
          <t xml:space="preserve">RN-09, RN-P05</t>
        </is>
      </c>
      <c r="M103" s="5" t="inlineStr">
        <is>
          <t xml:space="preserve">La disponibilidad para vender es dato del servicio de existencias; la consulta sin conexión usa su copia local.</t>
        </is>
      </c>
      <c r="N103" s="5" t="inlineStr">
        <is>
          <t xml:space="preserve">—</t>
        </is>
      </c>
      <c r="O103" s="5" t="inlineStr">
        <is>
          <t xml:space="preserve">RF-039</t>
        </is>
      </c>
    </row>
    <row r="104">
      <c r="A104" s="7" t="inlineStr">
        <is>
          <t xml:space="preserve">OP-06</t>
        </is>
      </c>
      <c r="B104" s="4" t="inlineStr">
        <is>
          <t xml:space="preserve">OP</t>
        </is>
      </c>
      <c r="C104" s="7" t="inlineStr">
        <is>
          <t xml:space="preserve">El PROPONENTE debe especificar la cantidad de dispositivos móviles requeridos por tienda y por departamento.</t>
        </is>
      </c>
      <c r="D104" s="7" t="inlineStr">
        <is>
          <t xml:space="preserve">—</t>
        </is>
      </c>
      <c r="E104" s="7" t="inlineStr">
        <is>
          <t xml:space="preserve">Gestión del proyecto</t>
        </is>
      </c>
      <c r="F104" s="7" t="inlineStr">
        <is>
          <t xml:space="preserve">—</t>
        </is>
      </c>
      <c r="G104" s="4" t="inlineStr">
        <is>
          <t xml:space="preserve">Todo el proyecto</t>
        </is>
      </c>
      <c r="H104" s="4" t="inlineStr">
        <is>
          <t xml:space="preserve">Alta</t>
        </is>
      </c>
      <c r="I104" s="7" t="inlineStr">
        <is>
          <t xml:space="preserve">—</t>
        </is>
      </c>
      <c r="J104" s="7" t="inlineStr">
        <is>
          <t xml:space="preserve">—</t>
        </is>
      </c>
      <c r="K104" s="7" t="inlineStr">
        <is>
          <t xml:space="preserve">—</t>
        </is>
      </c>
      <c r="L104" s="7" t="inlineStr">
        <is>
          <t xml:space="preserve">RN-60</t>
        </is>
      </c>
      <c r="M104" s="7" t="inlineStr">
        <is>
          <t xml:space="preserve"/>
        </is>
      </c>
      <c r="N104" s="7" t="inlineStr">
        <is>
          <t xml:space="preserve">RF-120</t>
        </is>
      </c>
      <c r="O104" s="7" t="inlineStr">
        <is>
          <t xml:space="preserve">OP-06</t>
        </is>
      </c>
    </row>
    <row r="105">
      <c r="A105" s="7" t="inlineStr">
        <is>
          <t xml:space="preserve">OP-07</t>
        </is>
      </c>
      <c r="B105" s="4" t="inlineStr">
        <is>
          <t xml:space="preserve">OP</t>
        </is>
      </c>
      <c r="C105" s="7" t="inlineStr">
        <is>
          <t xml:space="preserve">El PROPONENTE debe especificar las características técnicas de los dispositivos móviles requeridos.</t>
        </is>
      </c>
      <c r="D105" s="7" t="inlineStr">
        <is>
          <t xml:space="preserve">—</t>
        </is>
      </c>
      <c r="E105" s="7" t="inlineStr">
        <is>
          <t xml:space="preserve">Gestión del proyecto</t>
        </is>
      </c>
      <c r="F105" s="7" t="inlineStr">
        <is>
          <t xml:space="preserve">—</t>
        </is>
      </c>
      <c r="G105" s="4" t="inlineStr">
        <is>
          <t xml:space="preserve">Todo el proyecto</t>
        </is>
      </c>
      <c r="H105" s="4" t="inlineStr">
        <is>
          <t xml:space="preserve">Alta</t>
        </is>
      </c>
      <c r="I105" s="7" t="inlineStr">
        <is>
          <t xml:space="preserve">—</t>
        </is>
      </c>
      <c r="J105" s="7" t="inlineStr">
        <is>
          <t xml:space="preserve">—</t>
        </is>
      </c>
      <c r="K105" s="7" t="inlineStr">
        <is>
          <t xml:space="preserve">—</t>
        </is>
      </c>
      <c r="L105" s="7" t="inlineStr">
        <is>
          <t xml:space="preserve">RN-60, RN-50</t>
        </is>
      </c>
      <c r="M105" s="7" t="inlineStr">
        <is>
          <t xml:space="preserve"/>
        </is>
      </c>
      <c r="N105" s="7" t="inlineStr">
        <is>
          <t xml:space="preserve">RF-121</t>
        </is>
      </c>
      <c r="O105" s="7" t="inlineStr">
        <is>
          <t xml:space="preserve">OP-07</t>
        </is>
      </c>
    </row>
    <row r="106">
      <c r="A106" s="7" t="inlineStr">
        <is>
          <t xml:space="preserve">OP-08</t>
        </is>
      </c>
      <c r="B106" s="4" t="inlineStr">
        <is>
          <t xml:space="preserve">OP</t>
        </is>
      </c>
      <c r="C106" s="7" t="inlineStr">
        <is>
          <t xml:space="preserve">El PROPONENTE debe presentar el análisis de hacer o comprar del centro de distribución de Concepción con sus tres alternativas.</t>
        </is>
      </c>
      <c r="D106" s="7" t="inlineStr">
        <is>
          <t xml:space="preserve">—</t>
        </is>
      </c>
      <c r="E106" s="7" t="inlineStr">
        <is>
          <t xml:space="preserve">Gestión del proyecto</t>
        </is>
      </c>
      <c r="F106" s="7" t="inlineStr">
        <is>
          <t xml:space="preserve">—</t>
        </is>
      </c>
      <c r="G106" s="4" t="inlineStr">
        <is>
          <t xml:space="preserve">Todo el proyecto</t>
        </is>
      </c>
      <c r="H106" s="4" t="inlineStr">
        <is>
          <t xml:space="preserve">Alta</t>
        </is>
      </c>
      <c r="I106" s="7" t="inlineStr">
        <is>
          <t xml:space="preserve">—</t>
        </is>
      </c>
      <c r="J106" s="7" t="inlineStr">
        <is>
          <t xml:space="preserve">—</t>
        </is>
      </c>
      <c r="K106" s="7" t="inlineStr">
        <is>
          <t xml:space="preserve">—</t>
        </is>
      </c>
      <c r="L106" s="7" t="inlineStr">
        <is>
          <t xml:space="preserve">RN-61, RN-15</t>
        </is>
      </c>
      <c r="M106" s="7" t="inlineStr">
        <is>
          <t xml:space="preserve"/>
        </is>
      </c>
      <c r="N106" s="7" t="inlineStr">
        <is>
          <t xml:space="preserve">RF-122</t>
        </is>
      </c>
      <c r="O106" s="7" t="inlineStr">
        <is>
          <t xml:space="preserve">OP-08</t>
        </is>
      </c>
    </row>
    <row r="107">
      <c r="A107" s="7" t="inlineStr">
        <is>
          <t xml:space="preserve">OP-09</t>
        </is>
      </c>
      <c r="B107" s="4" t="inlineStr">
        <is>
          <t xml:space="preserve">OP</t>
        </is>
      </c>
      <c r="C107" s="7" t="inlineStr">
        <is>
          <t xml:space="preserve">El PROPONENTE debe declarar el impacto de la alternativa seleccionada sobre el cumplimiento de RN-15.</t>
        </is>
      </c>
      <c r="D107" s="7" t="inlineStr">
        <is>
          <t xml:space="preserve">—</t>
        </is>
      </c>
      <c r="E107" s="7" t="inlineStr">
        <is>
          <t xml:space="preserve">Gestión del proyecto</t>
        </is>
      </c>
      <c r="F107" s="7" t="inlineStr">
        <is>
          <t xml:space="preserve">—</t>
        </is>
      </c>
      <c r="G107" s="4" t="inlineStr">
        <is>
          <t xml:space="preserve">Todo el proyecto</t>
        </is>
      </c>
      <c r="H107" s="4" t="inlineStr">
        <is>
          <t xml:space="preserve">Alta</t>
        </is>
      </c>
      <c r="I107" s="7" t="inlineStr">
        <is>
          <t xml:space="preserve">—</t>
        </is>
      </c>
      <c r="J107" s="7" t="inlineStr">
        <is>
          <t xml:space="preserve">—</t>
        </is>
      </c>
      <c r="K107" s="7" t="inlineStr">
        <is>
          <t xml:space="preserve">—</t>
        </is>
      </c>
      <c r="L107" s="7" t="inlineStr">
        <is>
          <t xml:space="preserve">RN-61, RN-15</t>
        </is>
      </c>
      <c r="M107" s="7" t="inlineStr">
        <is>
          <t xml:space="preserve"/>
        </is>
      </c>
      <c r="N107" s="7" t="inlineStr">
        <is>
          <t xml:space="preserve">RF-122</t>
        </is>
      </c>
      <c r="O107" s="7" t="inlineStr">
        <is>
          <t xml:space="preserve">OP-09</t>
        </is>
      </c>
    </row>
    <row r="108">
      <c r="A108" s="5" t="inlineStr">
        <is>
          <t xml:space="preserve">RF-102</t>
        </is>
      </c>
      <c r="B108" s="4" t="inlineStr">
        <is>
          <t xml:space="preserve">RF</t>
        </is>
      </c>
      <c r="C108" s="5" t="inlineStr">
        <is>
          <t xml:space="preserve">El sistema debe permitir al vendedor de marketplace declarar la existencia de sus referencias.</t>
        </is>
      </c>
      <c r="D108" s="5" t="inlineStr">
        <is>
          <t xml:space="preserve">R:V-04</t>
        </is>
      </c>
      <c r="E108" s="5" t="inlineStr">
        <is>
          <t xml:space="preserve">Servicio de marketplace</t>
        </is>
      </c>
      <c r="F108" s="5" t="inlineStr">
        <is>
          <t xml:space="preserve">Retail</t>
        </is>
      </c>
      <c r="G108" s="4" t="inlineStr">
        <is>
          <t xml:space="preserve">2</t>
        </is>
      </c>
      <c r="H108" s="4" t="inlineStr">
        <is>
          <t xml:space="preserve">Media</t>
        </is>
      </c>
      <c r="I108" s="5" t="inlineStr">
        <is>
          <t xml:space="preserve">Retail</t>
        </is>
      </c>
      <c r="J108" s="5" t="inlineStr">
        <is>
          <t xml:space="preserve">—</t>
        </is>
      </c>
      <c r="K108" s="5" t="inlineStr">
        <is>
          <t xml:space="preserve">—</t>
        </is>
      </c>
      <c r="L108" s="5" t="inlineStr">
        <is>
          <t xml:space="preserve">RN-32</t>
        </is>
      </c>
      <c r="M108" s="5" t="inlineStr">
        <is>
          <t xml:space="preserve"/>
        </is>
      </c>
      <c r="N108" s="5" t="inlineStr">
        <is>
          <t xml:space="preserve">RF-016A.1</t>
        </is>
      </c>
      <c r="O108" s="5" t="inlineStr">
        <is>
          <t xml:space="preserve">RF-016A.1a</t>
        </is>
      </c>
    </row>
    <row r="109">
      <c r="A109" s="5" t="inlineStr">
        <is>
          <t xml:space="preserve">RF-103</t>
        </is>
      </c>
      <c r="B109" s="4" t="inlineStr">
        <is>
          <t xml:space="preserve">RF</t>
        </is>
      </c>
      <c r="C109" s="5" t="inlineStr">
        <is>
          <t xml:space="preserve">El sistema debe permitir al vendedor de marketplace actualizar la existencia previamente declarada.</t>
        </is>
      </c>
      <c r="D109" s="5" t="inlineStr">
        <is>
          <t xml:space="preserve">R:V-04</t>
        </is>
      </c>
      <c r="E109" s="5" t="inlineStr">
        <is>
          <t xml:space="preserve">Servicio de marketplace</t>
        </is>
      </c>
      <c r="F109" s="5" t="inlineStr">
        <is>
          <t xml:space="preserve">Retail</t>
        </is>
      </c>
      <c r="G109" s="4" t="inlineStr">
        <is>
          <t xml:space="preserve">2</t>
        </is>
      </c>
      <c r="H109" s="4" t="inlineStr">
        <is>
          <t xml:space="preserve">Media</t>
        </is>
      </c>
      <c r="I109" s="5" t="inlineStr">
        <is>
          <t xml:space="preserve">Retail</t>
        </is>
      </c>
      <c r="J109" s="5" t="inlineStr">
        <is>
          <t xml:space="preserve">—</t>
        </is>
      </c>
      <c r="K109" s="5" t="inlineStr">
        <is>
          <t xml:space="preserve">—</t>
        </is>
      </c>
      <c r="L109" s="5" t="inlineStr">
        <is>
          <t xml:space="preserve">RN-32</t>
        </is>
      </c>
      <c r="M109" s="5" t="inlineStr">
        <is>
          <t xml:space="preserve"/>
        </is>
      </c>
      <c r="N109" s="5" t="inlineStr">
        <is>
          <t xml:space="preserve">RF-016A.1</t>
        </is>
      </c>
      <c r="O109" s="5" t="inlineStr">
        <is>
          <t xml:space="preserve">RF-016A.1b</t>
        </is>
      </c>
    </row>
    <row r="110">
      <c r="A110" s="6" t="inlineStr">
        <is>
          <t xml:space="preserve">RNF-02</t>
        </is>
      </c>
      <c r="B110" s="4" t="inlineStr">
        <is>
          <t xml:space="preserve">RNF</t>
        </is>
      </c>
      <c r="C110" s="6" t="inlineStr">
        <is>
          <t xml:space="preserve">La interfaz de declaración de existencia del vendedor de marketplace debe estar disponible de forma continua.</t>
        </is>
      </c>
      <c r="D110" s="6" t="inlineStr">
        <is>
          <t xml:space="preserve">—</t>
        </is>
      </c>
      <c r="E110" s="6" t="inlineStr">
        <is>
          <t xml:space="preserve">Base tecnológica</t>
        </is>
      </c>
      <c r="F110" s="6" t="inlineStr">
        <is>
          <t xml:space="preserve">Ambos</t>
        </is>
      </c>
      <c r="G110" s="4" t="inlineStr">
        <is>
          <t xml:space="preserve">2</t>
        </is>
      </c>
      <c r="H110" s="4" t="inlineStr">
        <is>
          <t xml:space="preserve">Alta</t>
        </is>
      </c>
      <c r="I110" s="6" t="inlineStr">
        <is>
          <t xml:space="preserve">Retail</t>
        </is>
      </c>
      <c r="J110" s="6" t="inlineStr">
        <is>
          <t xml:space="preserve">24x7x365; disponibilidad &gt;= 99,5 % (supuesto fundamentado).</t>
        </is>
      </c>
      <c r="K110" s="6" t="inlineStr">
        <is>
          <t xml:space="preserve">Medición mensual de disponibilidad de la interfaz de sincronización de catálogo.</t>
        </is>
      </c>
      <c r="L110" s="6" t="inlineStr">
        <is>
          <t xml:space="preserve">RN-32</t>
        </is>
      </c>
      <c r="M110" s="6" t="inlineStr">
        <is>
          <t xml:space="preserve">Mide el servicio de marketplace, de la Etapa 2.</t>
        </is>
      </c>
      <c r="N110" s="6" t="inlineStr">
        <is>
          <t xml:space="preserve">RF-016A.1</t>
        </is>
      </c>
      <c r="O110" s="6" t="inlineStr">
        <is>
          <t xml:space="preserve">NFR-36</t>
        </is>
      </c>
    </row>
    <row r="111">
      <c r="A111" s="5" t="inlineStr">
        <is>
          <t xml:space="preserve">RF-104</t>
        </is>
      </c>
      <c r="B111" s="4" t="inlineStr">
        <is>
          <t xml:space="preserve">RF</t>
        </is>
      </c>
      <c r="C111" s="5" t="inlineStr">
        <is>
          <t xml:space="preserve">El sistema deberá registrar cada actualización de existencia declarada con su fecha y hora.</t>
        </is>
      </c>
      <c r="D111" s="5" t="inlineStr">
        <is>
          <t xml:space="preserve">R:V-04</t>
        </is>
      </c>
      <c r="E111" s="5" t="inlineStr">
        <is>
          <t xml:space="preserve">Servicio de marketplace</t>
        </is>
      </c>
      <c r="F111" s="5" t="inlineStr">
        <is>
          <t xml:space="preserve">Retail</t>
        </is>
      </c>
      <c r="G111" s="4" t="inlineStr">
        <is>
          <t xml:space="preserve">2</t>
        </is>
      </c>
      <c r="H111" s="4" t="inlineStr">
        <is>
          <t xml:space="preserve">Media</t>
        </is>
      </c>
      <c r="I111" s="5" t="inlineStr">
        <is>
          <t xml:space="preserve">Retail</t>
        </is>
      </c>
      <c r="J111" s="5" t="inlineStr">
        <is>
          <t xml:space="preserve">—</t>
        </is>
      </c>
      <c r="K111" s="5" t="inlineStr">
        <is>
          <t xml:space="preserve">—</t>
        </is>
      </c>
      <c r="L111" s="5" t="inlineStr">
        <is>
          <t xml:space="preserve">RN-32</t>
        </is>
      </c>
      <c r="M111" s="5" t="inlineStr">
        <is>
          <t xml:space="preserve"/>
        </is>
      </c>
      <c r="N111" s="5" t="inlineStr">
        <is>
          <t xml:space="preserve">—</t>
        </is>
      </c>
      <c r="O111" s="5" t="inlineStr">
        <is>
          <t xml:space="preserve">RF-016A.2</t>
        </is>
      </c>
    </row>
    <row r="112">
      <c r="A112" s="5" t="inlineStr">
        <is>
          <t xml:space="preserve">RF-105</t>
        </is>
      </c>
      <c r="B112" s="4" t="inlineStr">
        <is>
          <t xml:space="preserve">RF</t>
        </is>
      </c>
      <c r="C112" s="5" t="inlineStr">
        <is>
          <t xml:space="preserve">El sistema deberá calcular los indicadores de nivel de servicio por vendedor externo según las reglas publicadas.</t>
        </is>
      </c>
      <c r="D112" s="5" t="inlineStr">
        <is>
          <t xml:space="preserve">R:V-04</t>
        </is>
      </c>
      <c r="E112" s="5" t="inlineStr">
        <is>
          <t xml:space="preserve">Servicio de marketplace</t>
        </is>
      </c>
      <c r="F112" s="5" t="inlineStr">
        <is>
          <t xml:space="preserve">Retail</t>
        </is>
      </c>
      <c r="G112" s="4" t="inlineStr">
        <is>
          <t xml:space="preserve">2</t>
        </is>
      </c>
      <c r="H112" s="4" t="inlineStr">
        <is>
          <t xml:space="preserve">Media</t>
        </is>
      </c>
      <c r="I112" s="5" t="inlineStr">
        <is>
          <t xml:space="preserve">Retail</t>
        </is>
      </c>
      <c r="J112" s="5" t="inlineStr">
        <is>
          <t xml:space="preserve">—</t>
        </is>
      </c>
      <c r="K112" s="5" t="inlineStr">
        <is>
          <t xml:space="preserve">—</t>
        </is>
      </c>
      <c r="L112" s="5" t="inlineStr">
        <is>
          <t xml:space="preserve">RN-30</t>
        </is>
      </c>
      <c r="M112" s="5" t="inlineStr">
        <is>
          <t xml:space="preserve"/>
        </is>
      </c>
      <c r="N112" s="5" t="inlineStr">
        <is>
          <t xml:space="preserve">—</t>
        </is>
      </c>
      <c r="O112" s="5" t="inlineStr">
        <is>
          <t xml:space="preserve">RF-016B</t>
        </is>
      </c>
    </row>
    <row r="113">
      <c r="A113" s="5" t="inlineStr">
        <is>
          <t xml:space="preserve">RF-106</t>
        </is>
      </c>
      <c r="B113" s="4" t="inlineStr">
        <is>
          <t xml:space="preserve">RF</t>
        </is>
      </c>
      <c r="C113" s="5" t="inlineStr">
        <is>
          <t xml:space="preserve">El sistema deberá notificar al vendedor de marketplace la recepción de la devolución en el momento en que se registra.</t>
        </is>
      </c>
      <c r="D113" s="5" t="inlineStr">
        <is>
          <t xml:space="preserve">R:V-04</t>
        </is>
      </c>
      <c r="E113" s="5" t="inlineStr">
        <is>
          <t xml:space="preserve">Servicio de marketplace</t>
        </is>
      </c>
      <c r="F113" s="5" t="inlineStr">
        <is>
          <t xml:space="preserve">Retail</t>
        </is>
      </c>
      <c r="G113" s="4" t="inlineStr">
        <is>
          <t xml:space="preserve">2</t>
        </is>
      </c>
      <c r="H113" s="4" t="inlineStr">
        <is>
          <t xml:space="preserve">Media</t>
        </is>
      </c>
      <c r="I113" s="5" t="inlineStr">
        <is>
          <t xml:space="preserve">Retail</t>
        </is>
      </c>
      <c r="J113" s="5" t="inlineStr">
        <is>
          <t xml:space="preserve">—</t>
        </is>
      </c>
      <c r="K113" s="5" t="inlineStr">
        <is>
          <t xml:space="preserve">—</t>
        </is>
      </c>
      <c r="L113" s="5" t="inlineStr">
        <is>
          <t xml:space="preserve">RN-28</t>
        </is>
      </c>
      <c r="M113" s="5" t="inlineStr">
        <is>
          <t xml:space="preserve"/>
        </is>
      </c>
      <c r="N113" s="5" t="inlineStr">
        <is>
          <t xml:space="preserve">—</t>
        </is>
      </c>
      <c r="O113" s="5" t="inlineStr">
        <is>
          <t xml:space="preserve">RF-017.1</t>
        </is>
      </c>
    </row>
    <row r="114">
      <c r="A114" s="5" t="inlineStr">
        <is>
          <t xml:space="preserve">RF-107</t>
        </is>
      </c>
      <c r="B114" s="4" t="inlineStr">
        <is>
          <t xml:space="preserve">RF</t>
        </is>
      </c>
      <c r="C114" s="5" t="inlineStr">
        <is>
          <t xml:space="preserve">El sistema deberá permitir al ejecutivo registrar que parte asume el costo de la devolución.</t>
        </is>
      </c>
      <c r="D114" s="5" t="inlineStr">
        <is>
          <t xml:space="preserve">R:V-04</t>
        </is>
      </c>
      <c r="E114" s="5" t="inlineStr">
        <is>
          <t xml:space="preserve">Servicio de marketplace</t>
        </is>
      </c>
      <c r="F114" s="5" t="inlineStr">
        <is>
          <t xml:space="preserve">Retail</t>
        </is>
      </c>
      <c r="G114" s="4" t="inlineStr">
        <is>
          <t xml:space="preserve">2</t>
        </is>
      </c>
      <c r="H114" s="4" t="inlineStr">
        <is>
          <t xml:space="preserve">Media</t>
        </is>
      </c>
      <c r="I114" s="5" t="inlineStr">
        <is>
          <t xml:space="preserve">Retail</t>
        </is>
      </c>
      <c r="J114" s="5" t="inlineStr">
        <is>
          <t xml:space="preserve">—</t>
        </is>
      </c>
      <c r="K114" s="5" t="inlineStr">
        <is>
          <t xml:space="preserve">—</t>
        </is>
      </c>
      <c r="L114" s="5" t="inlineStr">
        <is>
          <t xml:space="preserve">RN-28, RN-33</t>
        </is>
      </c>
      <c r="M114" s="5" t="inlineStr">
        <is>
          <t xml:space="preserve"/>
        </is>
      </c>
      <c r="N114" s="5" t="inlineStr">
        <is>
          <t xml:space="preserve">—</t>
        </is>
      </c>
      <c r="O114" s="5" t="inlineStr">
        <is>
          <t xml:space="preserve">RF-017.2</t>
        </is>
      </c>
    </row>
    <row r="115">
      <c r="A115" s="5" t="inlineStr">
        <is>
          <t xml:space="preserve">RF-108</t>
        </is>
      </c>
      <c r="B115" s="4" t="inlineStr">
        <is>
          <t xml:space="preserve">RF</t>
        </is>
      </c>
      <c r="C115" s="5" t="inlineStr">
        <is>
          <t xml:space="preserve">El sistema deberá permitir al ejecutivo registrar la prestación entregada al cliente (reparación, reposición o devolución del precio).</t>
        </is>
      </c>
      <c r="D115" s="5" t="inlineStr">
        <is>
          <t xml:space="preserve">R:V-04</t>
        </is>
      </c>
      <c r="E115" s="5" t="inlineStr">
        <is>
          <t xml:space="preserve">Servicio de marketplace</t>
        </is>
      </c>
      <c r="F115" s="5" t="inlineStr">
        <is>
          <t xml:space="preserve">Retail</t>
        </is>
      </c>
      <c r="G115" s="4" t="inlineStr">
        <is>
          <t xml:space="preserve">2</t>
        </is>
      </c>
      <c r="H115" s="4" t="inlineStr">
        <is>
          <t xml:space="preserve">Media</t>
        </is>
      </c>
      <c r="I115" s="5" t="inlineStr">
        <is>
          <t xml:space="preserve">Retail</t>
        </is>
      </c>
      <c r="J115" s="5" t="inlineStr">
        <is>
          <t xml:space="preserve">—</t>
        </is>
      </c>
      <c r="K115" s="5" t="inlineStr">
        <is>
          <t xml:space="preserve">—</t>
        </is>
      </c>
      <c r="L115" s="5" t="inlineStr">
        <is>
          <t xml:space="preserve">RN-28, RN-29</t>
        </is>
      </c>
      <c r="M115" s="5" t="inlineStr">
        <is>
          <t xml:space="preserve"/>
        </is>
      </c>
      <c r="N115" s="5" t="inlineStr">
        <is>
          <t xml:space="preserve">—</t>
        </is>
      </c>
      <c r="O115" s="5" t="inlineStr">
        <is>
          <t xml:space="preserve">RF-017.3</t>
        </is>
      </c>
    </row>
    <row r="116">
      <c r="A116" s="5" t="inlineStr">
        <is>
          <t xml:space="preserve">RF-109</t>
        </is>
      </c>
      <c r="B116" s="4" t="inlineStr">
        <is>
          <t xml:space="preserve">RF</t>
        </is>
      </c>
      <c r="C116" s="5" t="inlineStr">
        <is>
          <t xml:space="preserve">El sistema deberá publicar únicamente la existencia declarada en la última actualización vigente del vendedor.</t>
        </is>
      </c>
      <c r="D116" s="5" t="inlineStr">
        <is>
          <t xml:space="preserve">R:V-04</t>
        </is>
      </c>
      <c r="E116" s="5" t="inlineStr">
        <is>
          <t xml:space="preserve">Servicio de marketplace</t>
        </is>
      </c>
      <c r="F116" s="5" t="inlineStr">
        <is>
          <t xml:space="preserve">Retail</t>
        </is>
      </c>
      <c r="G116" s="4" t="inlineStr">
        <is>
          <t xml:space="preserve">2</t>
        </is>
      </c>
      <c r="H116" s="4" t="inlineStr">
        <is>
          <t xml:space="preserve">Media</t>
        </is>
      </c>
      <c r="I116" s="5" t="inlineStr">
        <is>
          <t xml:space="preserve">Retail</t>
        </is>
      </c>
      <c r="J116" s="5" t="inlineStr">
        <is>
          <t xml:space="preserve">—</t>
        </is>
      </c>
      <c r="K116" s="5" t="inlineStr">
        <is>
          <t xml:space="preserve">—</t>
        </is>
      </c>
      <c r="L116" s="5" t="inlineStr">
        <is>
          <t xml:space="preserve">RN-32</t>
        </is>
      </c>
      <c r="M116" s="5" t="inlineStr">
        <is>
          <t xml:space="preserve"/>
        </is>
      </c>
      <c r="N116" s="5" t="inlineStr">
        <is>
          <t xml:space="preserve">—</t>
        </is>
      </c>
      <c r="O116" s="5" t="inlineStr">
        <is>
          <t xml:space="preserve">RF-018</t>
        </is>
      </c>
    </row>
    <row r="117">
      <c r="A117" s="5" t="inlineStr">
        <is>
          <t xml:space="preserve">RF-110</t>
        </is>
      </c>
      <c r="B117" s="4" t="inlineStr">
        <is>
          <t xml:space="preserve">RF</t>
        </is>
      </c>
      <c r="C117" s="5" t="inlineStr">
        <is>
          <t xml:space="preserve">El sistema debe permitir al vendedor de marketplace consultar el estado de cada pedido intermediado.</t>
        </is>
      </c>
      <c r="D117" s="5" t="inlineStr">
        <is>
          <t xml:space="preserve">R:V-04</t>
        </is>
      </c>
      <c r="E117" s="5" t="inlineStr">
        <is>
          <t xml:space="preserve">Servicio de marketplace</t>
        </is>
      </c>
      <c r="F117" s="5" t="inlineStr">
        <is>
          <t xml:space="preserve">Retail</t>
        </is>
      </c>
      <c r="G117" s="4" t="inlineStr">
        <is>
          <t xml:space="preserve">2</t>
        </is>
      </c>
      <c r="H117" s="4" t="inlineStr">
        <is>
          <t xml:space="preserve">Media</t>
        </is>
      </c>
      <c r="I117" s="5" t="inlineStr">
        <is>
          <t xml:space="preserve">Retail</t>
        </is>
      </c>
      <c r="J117" s="5" t="inlineStr">
        <is>
          <t xml:space="preserve">—</t>
        </is>
      </c>
      <c r="K117" s="5" t="inlineStr">
        <is>
          <t xml:space="preserve">—</t>
        </is>
      </c>
      <c r="L117" s="5" t="inlineStr">
        <is>
          <t xml:space="preserve">RN-30</t>
        </is>
      </c>
      <c r="M117" s="5" t="inlineStr">
        <is>
          <t xml:space="preserve"/>
        </is>
      </c>
      <c r="N117" s="5" t="inlineStr">
        <is>
          <t xml:space="preserve">RF-038</t>
        </is>
      </c>
      <c r="O117" s="5" t="inlineStr">
        <is>
          <t xml:space="preserve">RF-038.1</t>
        </is>
      </c>
    </row>
    <row r="118">
      <c r="A118" s="5" t="inlineStr">
        <is>
          <t xml:space="preserve">RF-111</t>
        </is>
      </c>
      <c r="B118" s="4" t="inlineStr">
        <is>
          <t xml:space="preserve">RF</t>
        </is>
      </c>
      <c r="C118" s="5" t="inlineStr">
        <is>
          <t xml:space="preserve">El sistema debe permitir al vendedor de marketplace consultar las devoluciones de sus pedidos.</t>
        </is>
      </c>
      <c r="D118" s="5" t="inlineStr">
        <is>
          <t xml:space="preserve">R:V-04</t>
        </is>
      </c>
      <c r="E118" s="5" t="inlineStr">
        <is>
          <t xml:space="preserve">Servicio de marketplace</t>
        </is>
      </c>
      <c r="F118" s="5" t="inlineStr">
        <is>
          <t xml:space="preserve">Retail</t>
        </is>
      </c>
      <c r="G118" s="4" t="inlineStr">
        <is>
          <t xml:space="preserve">2</t>
        </is>
      </c>
      <c r="H118" s="4" t="inlineStr">
        <is>
          <t xml:space="preserve">Media</t>
        </is>
      </c>
      <c r="I118" s="5" t="inlineStr">
        <is>
          <t xml:space="preserve">Retail</t>
        </is>
      </c>
      <c r="J118" s="5" t="inlineStr">
        <is>
          <t xml:space="preserve">—</t>
        </is>
      </c>
      <c r="K118" s="5" t="inlineStr">
        <is>
          <t xml:space="preserve">—</t>
        </is>
      </c>
      <c r="L118" s="5" t="inlineStr">
        <is>
          <t xml:space="preserve">RN-30</t>
        </is>
      </c>
      <c r="M118" s="5" t="inlineStr">
        <is>
          <t xml:space="preserve"/>
        </is>
      </c>
      <c r="N118" s="5" t="inlineStr">
        <is>
          <t xml:space="preserve">RF-038</t>
        </is>
      </c>
      <c r="O118" s="5" t="inlineStr">
        <is>
          <t xml:space="preserve">RF-038.2</t>
        </is>
      </c>
    </row>
    <row r="119">
      <c r="A119" s="5" t="inlineStr">
        <is>
          <t xml:space="preserve">RF-112</t>
        </is>
      </c>
      <c r="B119" s="4" t="inlineStr">
        <is>
          <t xml:space="preserve">RF</t>
        </is>
      </c>
      <c r="C119" s="5" t="inlineStr">
        <is>
          <t xml:space="preserve">El sistema debe permitir al vendedor de marketplace consultar su evaluación de desempeño vigente.</t>
        </is>
      </c>
      <c r="D119" s="5" t="inlineStr">
        <is>
          <t xml:space="preserve">R:V-04</t>
        </is>
      </c>
      <c r="E119" s="5" t="inlineStr">
        <is>
          <t xml:space="preserve">Servicio de marketplace</t>
        </is>
      </c>
      <c r="F119" s="5" t="inlineStr">
        <is>
          <t xml:space="preserve">Retail</t>
        </is>
      </c>
      <c r="G119" s="4" t="inlineStr">
        <is>
          <t xml:space="preserve">2</t>
        </is>
      </c>
      <c r="H119" s="4" t="inlineStr">
        <is>
          <t xml:space="preserve">Media</t>
        </is>
      </c>
      <c r="I119" s="5" t="inlineStr">
        <is>
          <t xml:space="preserve">Retail</t>
        </is>
      </c>
      <c r="J119" s="5" t="inlineStr">
        <is>
          <t xml:space="preserve">—</t>
        </is>
      </c>
      <c r="K119" s="5" t="inlineStr">
        <is>
          <t xml:space="preserve">—</t>
        </is>
      </c>
      <c r="L119" s="5" t="inlineStr">
        <is>
          <t xml:space="preserve">RN-30</t>
        </is>
      </c>
      <c r="M119" s="5" t="inlineStr">
        <is>
          <t xml:space="preserve"/>
        </is>
      </c>
      <c r="N119" s="5" t="inlineStr">
        <is>
          <t xml:space="preserve">RF-038</t>
        </is>
      </c>
      <c r="O119" s="5" t="inlineStr">
        <is>
          <t xml:space="preserve">RF-038.3</t>
        </is>
      </c>
    </row>
    <row r="120">
      <c r="A120" s="5" t="inlineStr">
        <is>
          <t xml:space="preserve">RF-113</t>
        </is>
      </c>
      <c r="B120" s="4" t="inlineStr">
        <is>
          <t xml:space="preserve">RF</t>
        </is>
      </c>
      <c r="C120" s="5" t="inlineStr">
        <is>
          <t xml:space="preserve">El sistema debe identificar visiblemente al vendedor de la unidad en el catálogo, la ficha de producto y el proceso de compra.</t>
        </is>
      </c>
      <c r="D120" s="5" t="inlineStr">
        <is>
          <t xml:space="preserve">R:V-04</t>
        </is>
      </c>
      <c r="E120" s="5" t="inlineStr">
        <is>
          <t xml:space="preserve">Servicio de marketplace</t>
        </is>
      </c>
      <c r="F120" s="5" t="inlineStr">
        <is>
          <t xml:space="preserve">Retail</t>
        </is>
      </c>
      <c r="G120" s="4" t="inlineStr">
        <is>
          <t xml:space="preserve">2</t>
        </is>
      </c>
      <c r="H120" s="4" t="inlineStr">
        <is>
          <t xml:space="preserve">Media</t>
        </is>
      </c>
      <c r="I120" s="5" t="inlineStr">
        <is>
          <t xml:space="preserve">Retail</t>
        </is>
      </c>
      <c r="J120" s="5" t="inlineStr">
        <is>
          <t xml:space="preserve">—</t>
        </is>
      </c>
      <c r="K120" s="5" t="inlineStr">
        <is>
          <t xml:space="preserve">—</t>
        </is>
      </c>
      <c r="L120" s="5" t="inlineStr">
        <is>
          <t xml:space="preserve">RN-P03, RN-25</t>
        </is>
      </c>
      <c r="M120" s="5" t="inlineStr">
        <is>
          <t xml:space="preserve"/>
        </is>
      </c>
      <c r="N120" s="5" t="inlineStr">
        <is>
          <t xml:space="preserve">RF-048.1</t>
        </is>
      </c>
      <c r="O120" s="5" t="inlineStr">
        <is>
          <t xml:space="preserve">RF-048.1a</t>
        </is>
      </c>
    </row>
    <row r="121">
      <c r="A121" s="5" t="inlineStr">
        <is>
          <t xml:space="preserve">RF-114</t>
        </is>
      </c>
      <c r="B121" s="4" t="inlineStr">
        <is>
          <t xml:space="preserve">RF</t>
        </is>
      </c>
      <c r="C121" s="5" t="inlineStr">
        <is>
          <t xml:space="preserve">El sistema debe identificar visiblemente a quien despacha la unidad en el catálogo, la ficha de producto y el proceso de compra.</t>
        </is>
      </c>
      <c r="D121" s="5" t="inlineStr">
        <is>
          <t xml:space="preserve">R:V-04</t>
        </is>
      </c>
      <c r="E121" s="5" t="inlineStr">
        <is>
          <t xml:space="preserve">Servicio de marketplace</t>
        </is>
      </c>
      <c r="F121" s="5" t="inlineStr">
        <is>
          <t xml:space="preserve">Retail</t>
        </is>
      </c>
      <c r="G121" s="4" t="inlineStr">
        <is>
          <t xml:space="preserve">2</t>
        </is>
      </c>
      <c r="H121" s="4" t="inlineStr">
        <is>
          <t xml:space="preserve">Media</t>
        </is>
      </c>
      <c r="I121" s="5" t="inlineStr">
        <is>
          <t xml:space="preserve">Retail</t>
        </is>
      </c>
      <c r="J121" s="5" t="inlineStr">
        <is>
          <t xml:space="preserve">—</t>
        </is>
      </c>
      <c r="K121" s="5" t="inlineStr">
        <is>
          <t xml:space="preserve">—</t>
        </is>
      </c>
      <c r="L121" s="5" t="inlineStr">
        <is>
          <t xml:space="preserve">RN-P03, RN-25</t>
        </is>
      </c>
      <c r="M121" s="5" t="inlineStr">
        <is>
          <t xml:space="preserve"/>
        </is>
      </c>
      <c r="N121" s="5" t="inlineStr">
        <is>
          <t xml:space="preserve">RF-048.1</t>
        </is>
      </c>
      <c r="O121" s="5" t="inlineStr">
        <is>
          <t xml:space="preserve">RF-048.1b</t>
        </is>
      </c>
    </row>
    <row r="122">
      <c r="A122" s="5" t="inlineStr">
        <is>
          <t xml:space="preserve">RF-115</t>
        </is>
      </c>
      <c r="B122" s="4" t="inlineStr">
        <is>
          <t xml:space="preserve">RF</t>
        </is>
      </c>
      <c r="C122" s="5" t="inlineStr">
        <is>
          <t xml:space="preserve">El sistema debe mostrar las condiciones de devolución aplicables a la unidad.</t>
        </is>
      </c>
      <c r="D122" s="5" t="inlineStr">
        <is>
          <t xml:space="preserve">R:V-04</t>
        </is>
      </c>
      <c r="E122" s="5" t="inlineStr">
        <is>
          <t xml:space="preserve">Servicio de marketplace</t>
        </is>
      </c>
      <c r="F122" s="5" t="inlineStr">
        <is>
          <t xml:space="preserve">Retail</t>
        </is>
      </c>
      <c r="G122" s="4" t="inlineStr">
        <is>
          <t xml:space="preserve">2</t>
        </is>
      </c>
      <c r="H122" s="4" t="inlineStr">
        <is>
          <t xml:space="preserve">Media</t>
        </is>
      </c>
      <c r="I122" s="5" t="inlineStr">
        <is>
          <t xml:space="preserve">Retail</t>
        </is>
      </c>
      <c r="J122" s="5" t="inlineStr">
        <is>
          <t xml:space="preserve">—</t>
        </is>
      </c>
      <c r="K122" s="5" t="inlineStr">
        <is>
          <t xml:space="preserve">—</t>
        </is>
      </c>
      <c r="L122" s="5" t="inlineStr">
        <is>
          <t xml:space="preserve">RN-P03, RN-26</t>
        </is>
      </c>
      <c r="M122" s="5" t="inlineStr">
        <is>
          <t xml:space="preserve"/>
        </is>
      </c>
      <c r="N122" s="5" t="inlineStr">
        <is>
          <t xml:space="preserve">RF-048.2</t>
        </is>
      </c>
      <c r="O122" s="5" t="inlineStr">
        <is>
          <t xml:space="preserve">RF-048.2a</t>
        </is>
      </c>
    </row>
    <row r="123">
      <c r="A123" s="5" t="inlineStr">
        <is>
          <t xml:space="preserve">RF-116</t>
        </is>
      </c>
      <c r="B123" s="4" t="inlineStr">
        <is>
          <t xml:space="preserve">RF</t>
        </is>
      </c>
      <c r="C123" s="5" t="inlineStr">
        <is>
          <t xml:space="preserve">El sistema debe mostrar las condiciones de garantía legal aplicables a la unidad.</t>
        </is>
      </c>
      <c r="D123" s="5" t="inlineStr">
        <is>
          <t xml:space="preserve">R:V-04</t>
        </is>
      </c>
      <c r="E123" s="5" t="inlineStr">
        <is>
          <t xml:space="preserve">Servicio de marketplace</t>
        </is>
      </c>
      <c r="F123" s="5" t="inlineStr">
        <is>
          <t xml:space="preserve">Retail</t>
        </is>
      </c>
      <c r="G123" s="4" t="inlineStr">
        <is>
          <t xml:space="preserve">2</t>
        </is>
      </c>
      <c r="H123" s="4" t="inlineStr">
        <is>
          <t xml:space="preserve">Media</t>
        </is>
      </c>
      <c r="I123" s="5" t="inlineStr">
        <is>
          <t xml:space="preserve">Retail</t>
        </is>
      </c>
      <c r="J123" s="5" t="inlineStr">
        <is>
          <t xml:space="preserve">—</t>
        </is>
      </c>
      <c r="K123" s="5" t="inlineStr">
        <is>
          <t xml:space="preserve">—</t>
        </is>
      </c>
      <c r="L123" s="5" t="inlineStr">
        <is>
          <t xml:space="preserve">RN-P03, RN-26</t>
        </is>
      </c>
      <c r="M123" s="5" t="inlineStr">
        <is>
          <t xml:space="preserve"/>
        </is>
      </c>
      <c r="N123" s="5" t="inlineStr">
        <is>
          <t xml:space="preserve">RF-048.2</t>
        </is>
      </c>
      <c r="O123" s="5" t="inlineStr">
        <is>
          <t xml:space="preserve">RF-048.2b</t>
        </is>
      </c>
    </row>
    <row r="124">
      <c r="A124" s="5" t="inlineStr">
        <is>
          <t xml:space="preserve">RF-117</t>
        </is>
      </c>
      <c r="B124" s="4" t="inlineStr">
        <is>
          <t xml:space="preserve">RF</t>
        </is>
      </c>
      <c r="C124" s="5" t="inlineStr">
        <is>
          <t xml:space="preserve">El sistema deberá impedir que un pedido intermediado comprometa existencia propia de la compañía.</t>
        </is>
      </c>
      <c r="D124" s="5" t="inlineStr">
        <is>
          <t xml:space="preserve">R:V-04</t>
        </is>
      </c>
      <c r="E124" s="5" t="inlineStr">
        <is>
          <t xml:space="preserve">Servicio de marketplace</t>
        </is>
      </c>
      <c r="F124" s="5" t="inlineStr">
        <is>
          <t xml:space="preserve">Retail</t>
        </is>
      </c>
      <c r="G124" s="4" t="inlineStr">
        <is>
          <t xml:space="preserve">2</t>
        </is>
      </c>
      <c r="H124" s="4" t="inlineStr">
        <is>
          <t xml:space="preserve">Media</t>
        </is>
      </c>
      <c r="I124" s="5" t="inlineStr">
        <is>
          <t xml:space="preserve">Retail</t>
        </is>
      </c>
      <c r="J124" s="5" t="inlineStr">
        <is>
          <t xml:space="preserve">—</t>
        </is>
      </c>
      <c r="K124" s="5" t="inlineStr">
        <is>
          <t xml:space="preserve">—</t>
        </is>
      </c>
      <c r="L124" s="5" t="inlineStr">
        <is>
          <t xml:space="preserve">RN-25</t>
        </is>
      </c>
      <c r="M124" s="5" t="inlineStr">
        <is>
          <t xml:space="preserve"/>
        </is>
      </c>
      <c r="N124" s="5" t="inlineStr">
        <is>
          <t xml:space="preserve">—</t>
        </is>
      </c>
      <c r="O124" s="5" t="inlineStr">
        <is>
          <t xml:space="preserve">RF-077</t>
        </is>
      </c>
    </row>
    <row r="125">
      <c r="A125" s="5" t="inlineStr">
        <is>
          <t xml:space="preserve">RF-118</t>
        </is>
      </c>
      <c r="B125" s="4" t="inlineStr">
        <is>
          <t xml:space="preserve">RF</t>
        </is>
      </c>
      <c r="C125" s="5" t="inlineStr">
        <is>
          <t xml:space="preserve">El sistema deberá impedir que una unidad de inventario propio sea asignada al cumplimiento de un pedido de marketplace.</t>
        </is>
      </c>
      <c r="D125" s="5" t="inlineStr">
        <is>
          <t xml:space="preserve">R:V-04</t>
        </is>
      </c>
      <c r="E125" s="5" t="inlineStr">
        <is>
          <t xml:space="preserve">Servicio de marketplace</t>
        </is>
      </c>
      <c r="F125" s="5" t="inlineStr">
        <is>
          <t xml:space="preserve">Retail</t>
        </is>
      </c>
      <c r="G125" s="4" t="inlineStr">
        <is>
          <t xml:space="preserve">2</t>
        </is>
      </c>
      <c r="H125" s="4" t="inlineStr">
        <is>
          <t xml:space="preserve">Media</t>
        </is>
      </c>
      <c r="I125" s="5" t="inlineStr">
        <is>
          <t xml:space="preserve">Retail</t>
        </is>
      </c>
      <c r="J125" s="5" t="inlineStr">
        <is>
          <t xml:space="preserve">—</t>
        </is>
      </c>
      <c r="K125" s="5" t="inlineStr">
        <is>
          <t xml:space="preserve">—</t>
        </is>
      </c>
      <c r="L125" s="5" t="inlineStr">
        <is>
          <t xml:space="preserve">RN-25</t>
        </is>
      </c>
      <c r="M125" s="5" t="inlineStr">
        <is>
          <t xml:space="preserve"/>
        </is>
      </c>
      <c r="N125" s="5" t="inlineStr">
        <is>
          <t xml:space="preserve">—</t>
        </is>
      </c>
      <c r="O125" s="5" t="inlineStr">
        <is>
          <t xml:space="preserve">RF-078</t>
        </is>
      </c>
    </row>
    <row r="126">
      <c r="A126" s="5" t="inlineStr">
        <is>
          <t xml:space="preserve">RF-119</t>
        </is>
      </c>
      <c r="B126" s="4" t="inlineStr">
        <is>
          <t xml:space="preserve">RF</t>
        </is>
      </c>
      <c r="C126" s="5" t="inlineStr">
        <is>
          <t xml:space="preserve">El sistema deberá registrar el acuse de conocimiento de las reglas de evaluación por parte de cada vendedor externo.</t>
        </is>
      </c>
      <c r="D126" s="5" t="inlineStr">
        <is>
          <t xml:space="preserve">R:V-04</t>
        </is>
      </c>
      <c r="E126" s="5" t="inlineStr">
        <is>
          <t xml:space="preserve">Servicio de marketplace</t>
        </is>
      </c>
      <c r="F126" s="5" t="inlineStr">
        <is>
          <t xml:space="preserve">Retail</t>
        </is>
      </c>
      <c r="G126" s="4" t="inlineStr">
        <is>
          <t xml:space="preserve">2</t>
        </is>
      </c>
      <c r="H126" s="4" t="inlineStr">
        <is>
          <t xml:space="preserve">Media</t>
        </is>
      </c>
      <c r="I126" s="5" t="inlineStr">
        <is>
          <t xml:space="preserve">Retail</t>
        </is>
      </c>
      <c r="J126" s="5" t="inlineStr">
        <is>
          <t xml:space="preserve">—</t>
        </is>
      </c>
      <c r="K126" s="5" t="inlineStr">
        <is>
          <t xml:space="preserve">—</t>
        </is>
      </c>
      <c r="L126" s="5" t="inlineStr">
        <is>
          <t xml:space="preserve">RN-30</t>
        </is>
      </c>
      <c r="M126" s="5" t="inlineStr">
        <is>
          <t xml:space="preserve"/>
        </is>
      </c>
      <c r="N126" s="5" t="inlineStr">
        <is>
          <t xml:space="preserve">—</t>
        </is>
      </c>
      <c r="O126" s="5" t="inlineStr">
        <is>
          <t xml:space="preserve">RF-079</t>
        </is>
      </c>
    </row>
    <row r="127">
      <c r="A127" s="5" t="inlineStr">
        <is>
          <t xml:space="preserve">RF-120</t>
        </is>
      </c>
      <c r="B127" s="4" t="inlineStr">
        <is>
          <t xml:space="preserve">RF</t>
        </is>
      </c>
      <c r="C127" s="5" t="inlineStr">
        <is>
          <t xml:space="preserve">El sistema deberá impedir la aplicación de una regla de evaluación a un vendedor que no tenga acuse de conocimiento previo de esa regla.</t>
        </is>
      </c>
      <c r="D127" s="5" t="inlineStr">
        <is>
          <t xml:space="preserve">R:V-04</t>
        </is>
      </c>
      <c r="E127" s="5" t="inlineStr">
        <is>
          <t xml:space="preserve">Servicio de marketplace</t>
        </is>
      </c>
      <c r="F127" s="5" t="inlineStr">
        <is>
          <t xml:space="preserve">Retail</t>
        </is>
      </c>
      <c r="G127" s="4" t="inlineStr">
        <is>
          <t xml:space="preserve">2</t>
        </is>
      </c>
      <c r="H127" s="4" t="inlineStr">
        <is>
          <t xml:space="preserve">Media</t>
        </is>
      </c>
      <c r="I127" s="5" t="inlineStr">
        <is>
          <t xml:space="preserve">Retail</t>
        </is>
      </c>
      <c r="J127" s="5" t="inlineStr">
        <is>
          <t xml:space="preserve">—</t>
        </is>
      </c>
      <c r="K127" s="5" t="inlineStr">
        <is>
          <t xml:space="preserve">—</t>
        </is>
      </c>
      <c r="L127" s="5" t="inlineStr">
        <is>
          <t xml:space="preserve">RN-30</t>
        </is>
      </c>
      <c r="M127" s="5" t="inlineStr">
        <is>
          <t xml:space="preserve"/>
        </is>
      </c>
      <c r="N127" s="5" t="inlineStr">
        <is>
          <t xml:space="preserve">—</t>
        </is>
      </c>
      <c r="O127" s="5" t="inlineStr">
        <is>
          <t xml:space="preserve">RF-080</t>
        </is>
      </c>
    </row>
    <row r="128">
      <c r="A128" s="5" t="inlineStr">
        <is>
          <t xml:space="preserve">RF-121</t>
        </is>
      </c>
      <c r="B128" s="4" t="inlineStr">
        <is>
          <t xml:space="preserve">RF</t>
        </is>
      </c>
      <c r="C128" s="5" t="inlineStr">
        <is>
          <t xml:space="preserve">El sistema deberá determinar la consecuencia escalonada aplicable según la matriz de escalamiento parametrizada (advertencia, restricción de publicación, suspensión).</t>
        </is>
      </c>
      <c r="D128" s="5" t="inlineStr">
        <is>
          <t xml:space="preserve">R:V-04</t>
        </is>
      </c>
      <c r="E128" s="5" t="inlineStr">
        <is>
          <t xml:space="preserve">Servicio de marketplace</t>
        </is>
      </c>
      <c r="F128" s="5" t="inlineStr">
        <is>
          <t xml:space="preserve">Retail</t>
        </is>
      </c>
      <c r="G128" s="4" t="inlineStr">
        <is>
          <t xml:space="preserve">2</t>
        </is>
      </c>
      <c r="H128" s="4" t="inlineStr">
        <is>
          <t xml:space="preserve">Media</t>
        </is>
      </c>
      <c r="I128" s="5" t="inlineStr">
        <is>
          <t xml:space="preserve">Retail</t>
        </is>
      </c>
      <c r="J128" s="5" t="inlineStr">
        <is>
          <t xml:space="preserve">—</t>
        </is>
      </c>
      <c r="K128" s="5" t="inlineStr">
        <is>
          <t xml:space="preserve">—</t>
        </is>
      </c>
      <c r="L128" s="5" t="inlineStr">
        <is>
          <t xml:space="preserve">RN-31</t>
        </is>
      </c>
      <c r="M128" s="5" t="inlineStr">
        <is>
          <t xml:space="preserve"/>
        </is>
      </c>
      <c r="N128" s="5" t="inlineStr">
        <is>
          <t xml:space="preserve">—</t>
        </is>
      </c>
      <c r="O128" s="5" t="inlineStr">
        <is>
          <t xml:space="preserve">RF-081</t>
        </is>
      </c>
    </row>
    <row r="129">
      <c r="A129" s="5" t="inlineStr">
        <is>
          <t xml:space="preserve">RF-122</t>
        </is>
      </c>
      <c r="B129" s="4" t="inlineStr">
        <is>
          <t xml:space="preserve">RF</t>
        </is>
      </c>
      <c r="C129" s="5" t="inlineStr">
        <is>
          <t xml:space="preserve">El sistema deberá requerir la ejecución de la sanción por el rol nominado en la matriz de escalamiento.</t>
        </is>
      </c>
      <c r="D129" s="5" t="inlineStr">
        <is>
          <t xml:space="preserve">R:V-04</t>
        </is>
      </c>
      <c r="E129" s="5" t="inlineStr">
        <is>
          <t xml:space="preserve">Servicio de marketplace</t>
        </is>
      </c>
      <c r="F129" s="5" t="inlineStr">
        <is>
          <t xml:space="preserve">Retail</t>
        </is>
      </c>
      <c r="G129" s="4" t="inlineStr">
        <is>
          <t xml:space="preserve">2</t>
        </is>
      </c>
      <c r="H129" s="4" t="inlineStr">
        <is>
          <t xml:space="preserve">Media</t>
        </is>
      </c>
      <c r="I129" s="5" t="inlineStr">
        <is>
          <t xml:space="preserve">Retail</t>
        </is>
      </c>
      <c r="J129" s="5" t="inlineStr">
        <is>
          <t xml:space="preserve">—</t>
        </is>
      </c>
      <c r="K129" s="5" t="inlineStr">
        <is>
          <t xml:space="preserve">—</t>
        </is>
      </c>
      <c r="L129" s="5" t="inlineStr">
        <is>
          <t xml:space="preserve">RN-31</t>
        </is>
      </c>
      <c r="M129" s="5" t="inlineStr">
        <is>
          <t xml:space="preserve"/>
        </is>
      </c>
      <c r="N129" s="5" t="inlineStr">
        <is>
          <t xml:space="preserve">—</t>
        </is>
      </c>
      <c r="O129" s="5" t="inlineStr">
        <is>
          <t xml:space="preserve">RF-082</t>
        </is>
      </c>
    </row>
    <row r="130">
      <c r="A130" s="5" t="inlineStr">
        <is>
          <t xml:space="preserve">RF-123</t>
        </is>
      </c>
      <c r="B130" s="4" t="inlineStr">
        <is>
          <t xml:space="preserve">RF</t>
        </is>
      </c>
      <c r="C130" s="5" t="inlineStr">
        <is>
          <t xml:space="preserve">El sistema deberá registrar la trazabilidad de la sanción aplicada, indicando regla incumplida, consecuencia, rol ejecutor e instante.</t>
        </is>
      </c>
      <c r="D130" s="5" t="inlineStr">
        <is>
          <t xml:space="preserve">R:V-04</t>
        </is>
      </c>
      <c r="E130" s="5" t="inlineStr">
        <is>
          <t xml:space="preserve">Servicio de marketplace</t>
        </is>
      </c>
      <c r="F130" s="5" t="inlineStr">
        <is>
          <t xml:space="preserve">Retail</t>
        </is>
      </c>
      <c r="G130" s="4" t="inlineStr">
        <is>
          <t xml:space="preserve">2</t>
        </is>
      </c>
      <c r="H130" s="4" t="inlineStr">
        <is>
          <t xml:space="preserve">Media</t>
        </is>
      </c>
      <c r="I130" s="5" t="inlineStr">
        <is>
          <t xml:space="preserve">Retail</t>
        </is>
      </c>
      <c r="J130" s="5" t="inlineStr">
        <is>
          <t xml:space="preserve">—</t>
        </is>
      </c>
      <c r="K130" s="5" t="inlineStr">
        <is>
          <t xml:space="preserve">—</t>
        </is>
      </c>
      <c r="L130" s="5" t="inlineStr">
        <is>
          <t xml:space="preserve">RN-31</t>
        </is>
      </c>
      <c r="M130" s="5" t="inlineStr">
        <is>
          <t xml:space="preserve"/>
        </is>
      </c>
      <c r="N130" s="5" t="inlineStr">
        <is>
          <t xml:space="preserve">—</t>
        </is>
      </c>
      <c r="O130" s="5" t="inlineStr">
        <is>
          <t xml:space="preserve">RF-083</t>
        </is>
      </c>
    </row>
    <row r="131">
      <c r="A131" s="5" t="inlineStr">
        <is>
          <t xml:space="preserve">RF-124</t>
        </is>
      </c>
      <c r="B131" s="4" t="inlineStr">
        <is>
          <t xml:space="preserve">RF</t>
        </is>
      </c>
      <c r="C131" s="5" t="inlineStr">
        <is>
          <t xml:space="preserve">El sistema deberá despublicar automáticamente la oferta cuyo stock declarado haya superado el plazo de vigencia sin actualización.</t>
        </is>
      </c>
      <c r="D131" s="5" t="inlineStr">
        <is>
          <t xml:space="preserve">R:V-04</t>
        </is>
      </c>
      <c r="E131" s="5" t="inlineStr">
        <is>
          <t xml:space="preserve">Servicio de marketplace</t>
        </is>
      </c>
      <c r="F131" s="5" t="inlineStr">
        <is>
          <t xml:space="preserve">Retail</t>
        </is>
      </c>
      <c r="G131" s="4" t="inlineStr">
        <is>
          <t xml:space="preserve">2</t>
        </is>
      </c>
      <c r="H131" s="4" t="inlineStr">
        <is>
          <t xml:space="preserve">Media</t>
        </is>
      </c>
      <c r="I131" s="5" t="inlineStr">
        <is>
          <t xml:space="preserve">Retail</t>
        </is>
      </c>
      <c r="J131" s="5" t="inlineStr">
        <is>
          <t xml:space="preserve">—</t>
        </is>
      </c>
      <c r="K131" s="5" t="inlineStr">
        <is>
          <t xml:space="preserve">—</t>
        </is>
      </c>
      <c r="L131" s="5" t="inlineStr">
        <is>
          <t xml:space="preserve">RN-32</t>
        </is>
      </c>
      <c r="M131" s="5" t="inlineStr">
        <is>
          <t xml:space="preserve"/>
        </is>
      </c>
      <c r="N131" s="5" t="inlineStr">
        <is>
          <t xml:space="preserve">—</t>
        </is>
      </c>
      <c r="O131" s="5" t="inlineStr">
        <is>
          <t xml:space="preserve">RF-084</t>
        </is>
      </c>
    </row>
    <row r="132">
      <c r="A132" s="5" t="inlineStr">
        <is>
          <t xml:space="preserve">RF-125</t>
        </is>
      </c>
      <c r="B132" s="4" t="inlineStr">
        <is>
          <t xml:space="preserve">RF</t>
        </is>
      </c>
      <c r="C132" s="5" t="inlineStr">
        <is>
          <t xml:space="preserve">El sistema deberá calcular e informar al sistema de gestión empresarial la base de comisión de marketplace sobre la venta efectivamente cumplida</t>
        </is>
      </c>
      <c r="D132" s="5" t="inlineStr">
        <is>
          <t xml:space="preserve">R:V-04</t>
        </is>
      </c>
      <c r="E132" s="5" t="inlineStr">
        <is>
          <t xml:space="preserve">Servicio de marketplace</t>
        </is>
      </c>
      <c r="F132" s="5" t="inlineStr">
        <is>
          <t xml:space="preserve">Retail</t>
        </is>
      </c>
      <c r="G132" s="4" t="inlineStr">
        <is>
          <t xml:space="preserve">2</t>
        </is>
      </c>
      <c r="H132" s="4" t="inlineStr">
        <is>
          <t xml:space="preserve">Media</t>
        </is>
      </c>
      <c r="I132" s="5" t="inlineStr">
        <is>
          <t xml:space="preserve">Retail</t>
        </is>
      </c>
      <c r="J132" s="5" t="inlineStr">
        <is>
          <t xml:space="preserve">—</t>
        </is>
      </c>
      <c r="K132" s="5" t="inlineStr">
        <is>
          <t xml:space="preserve">—</t>
        </is>
      </c>
      <c r="L132" s="5" t="inlineStr">
        <is>
          <t xml:space="preserve">RN-33</t>
        </is>
      </c>
      <c r="M132" s="5" t="inlineStr">
        <is>
          <t xml:space="preserve"/>
        </is>
      </c>
      <c r="N132" s="5" t="inlineStr">
        <is>
          <t xml:space="preserve">—</t>
        </is>
      </c>
      <c r="O132" s="5" t="inlineStr">
        <is>
          <t xml:space="preserve">RF-085</t>
        </is>
      </c>
    </row>
    <row r="133">
      <c r="A133" s="5" t="inlineStr">
        <is>
          <t xml:space="preserve">RF-126</t>
        </is>
      </c>
      <c r="B133" s="4" t="inlineStr">
        <is>
          <t xml:space="preserve">RF</t>
        </is>
      </c>
      <c r="C133" s="5" t="inlineStr">
        <is>
          <t xml:space="preserve">El sistema deberá notificar al sistema de gestión empresarial la anulación de la base de comisión calculada cuando ocurra una devolución o cancelación.</t>
        </is>
      </c>
      <c r="D133" s="5" t="inlineStr">
        <is>
          <t xml:space="preserve">R:V-04</t>
        </is>
      </c>
      <c r="E133" s="5" t="inlineStr">
        <is>
          <t xml:space="preserve">Servicio de marketplace</t>
        </is>
      </c>
      <c r="F133" s="5" t="inlineStr">
        <is>
          <t xml:space="preserve">Retail</t>
        </is>
      </c>
      <c r="G133" s="4" t="inlineStr">
        <is>
          <t xml:space="preserve">2</t>
        </is>
      </c>
      <c r="H133" s="4" t="inlineStr">
        <is>
          <t xml:space="preserve">Media</t>
        </is>
      </c>
      <c r="I133" s="5" t="inlineStr">
        <is>
          <t xml:space="preserve">Retail</t>
        </is>
      </c>
      <c r="J133" s="5" t="inlineStr">
        <is>
          <t xml:space="preserve">—</t>
        </is>
      </c>
      <c r="K133" s="5" t="inlineStr">
        <is>
          <t xml:space="preserve">—</t>
        </is>
      </c>
      <c r="L133" s="5" t="inlineStr">
        <is>
          <t xml:space="preserve">RN-33</t>
        </is>
      </c>
      <c r="M133" s="5" t="inlineStr">
        <is>
          <t xml:space="preserve"/>
        </is>
      </c>
      <c r="N133" s="5" t="inlineStr">
        <is>
          <t xml:space="preserve">—</t>
        </is>
      </c>
      <c r="O133" s="5" t="inlineStr">
        <is>
          <t xml:space="preserve">RF-086</t>
        </is>
      </c>
    </row>
    <row r="134">
      <c r="A134" s="5" t="inlineStr">
        <is>
          <t xml:space="preserve">RF-127</t>
        </is>
      </c>
      <c r="B134" s="4" t="inlineStr">
        <is>
          <t xml:space="preserve">RF</t>
        </is>
      </c>
      <c r="C134" s="5" t="inlineStr">
        <is>
          <t xml:space="preserve">El sistema deberá calcular la existencia disponible para vender restando de la existencia registrada las reservas vigentes, el comprometido no despachado y el colchón de confianza aplicable.</t>
        </is>
      </c>
      <c r="D134" s="5" t="inlineStr">
        <is>
          <t xml:space="preserve">R:M-03</t>
        </is>
      </c>
      <c r="E134" s="5" t="inlineStr">
        <is>
          <t xml:space="preserve">Servicio de existencias</t>
        </is>
      </c>
      <c r="F134" s="5" t="inlineStr">
        <is>
          <t xml:space="preserve">Retail</t>
        </is>
      </c>
      <c r="G134" s="4" t="inlineStr">
        <is>
          <t xml:space="preserve">1</t>
        </is>
      </c>
      <c r="H134" s="4" t="inlineStr">
        <is>
          <t xml:space="preserve">Alta</t>
        </is>
      </c>
      <c r="I134" s="5" t="inlineStr">
        <is>
          <t xml:space="preserve">Retail</t>
        </is>
      </c>
      <c r="J134" s="5" t="inlineStr">
        <is>
          <t xml:space="preserve">—</t>
        </is>
      </c>
      <c r="K134" s="5" t="inlineStr">
        <is>
          <t xml:space="preserve">—</t>
        </is>
      </c>
      <c r="L134" s="5" t="inlineStr">
        <is>
          <t xml:space="preserve">RN-08, RN-09</t>
        </is>
      </c>
      <c r="M134" s="5" t="inlineStr">
        <is>
          <t xml:space="preserve"/>
        </is>
      </c>
      <c r="N134" s="5" t="inlineStr">
        <is>
          <t xml:space="preserve">—</t>
        </is>
      </c>
      <c r="O134" s="5" t="inlineStr">
        <is>
          <t xml:space="preserve">RF-001.1</t>
        </is>
      </c>
    </row>
    <row r="135">
      <c r="A135" s="5" t="inlineStr">
        <is>
          <t xml:space="preserve">RF-128</t>
        </is>
      </c>
      <c r="B135" s="4" t="inlineStr">
        <is>
          <t xml:space="preserve">RF</t>
        </is>
      </c>
      <c r="C135" s="5" t="inlineStr">
        <is>
          <t xml:space="preserve">El sistema deberá determinar el valor del colchón de confianza aplicable en función de la categoría del artículo.</t>
        </is>
      </c>
      <c r="D135" s="5" t="inlineStr">
        <is>
          <t xml:space="preserve">R:M-03</t>
        </is>
      </c>
      <c r="E135" s="5" t="inlineStr">
        <is>
          <t xml:space="preserve">Servicio de existencias</t>
        </is>
      </c>
      <c r="F135" s="5" t="inlineStr">
        <is>
          <t xml:space="preserve">Retail</t>
        </is>
      </c>
      <c r="G135" s="4" t="inlineStr">
        <is>
          <t xml:space="preserve">1</t>
        </is>
      </c>
      <c r="H135" s="4" t="inlineStr">
        <is>
          <t xml:space="preserve">Alta</t>
        </is>
      </c>
      <c r="I135" s="5" t="inlineStr">
        <is>
          <t xml:space="preserve">Retail</t>
        </is>
      </c>
      <c r="J135" s="5" t="inlineStr">
        <is>
          <t xml:space="preserve">—</t>
        </is>
      </c>
      <c r="K135" s="5" t="inlineStr">
        <is>
          <t xml:space="preserve">—</t>
        </is>
      </c>
      <c r="L135" s="5" t="inlineStr">
        <is>
          <t xml:space="preserve">RN-09</t>
        </is>
      </c>
      <c r="M135" s="5" t="inlineStr">
        <is>
          <t xml:space="preserve"/>
        </is>
      </c>
      <c r="N135" s="5" t="inlineStr">
        <is>
          <t xml:space="preserve">—</t>
        </is>
      </c>
      <c r="O135" s="5" t="inlineStr">
        <is>
          <t xml:space="preserve">RF-001.2</t>
        </is>
      </c>
    </row>
    <row r="136">
      <c r="A136" s="5" t="inlineStr">
        <is>
          <t xml:space="preserve">RF-129</t>
        </is>
      </c>
      <c r="B136" s="4" t="inlineStr">
        <is>
          <t xml:space="preserve">RF</t>
        </is>
      </c>
      <c r="C136" s="5" t="inlineStr">
        <is>
          <t xml:space="preserve">El sistema deberá determinar el valor del colchón de confianza aplicable en función del punto de existencia.</t>
        </is>
      </c>
      <c r="D136" s="5" t="inlineStr">
        <is>
          <t xml:space="preserve">R:M-03</t>
        </is>
      </c>
      <c r="E136" s="5" t="inlineStr">
        <is>
          <t xml:space="preserve">Servicio de existencias</t>
        </is>
      </c>
      <c r="F136" s="5" t="inlineStr">
        <is>
          <t xml:space="preserve">Retail</t>
        </is>
      </c>
      <c r="G136" s="4" t="inlineStr">
        <is>
          <t xml:space="preserve">1</t>
        </is>
      </c>
      <c r="H136" s="4" t="inlineStr">
        <is>
          <t xml:space="preserve">Alta</t>
        </is>
      </c>
      <c r="I136" s="5" t="inlineStr">
        <is>
          <t xml:space="preserve">Retail</t>
        </is>
      </c>
      <c r="J136" s="5" t="inlineStr">
        <is>
          <t xml:space="preserve">—</t>
        </is>
      </c>
      <c r="K136" s="5" t="inlineStr">
        <is>
          <t xml:space="preserve">—</t>
        </is>
      </c>
      <c r="L136" s="5" t="inlineStr">
        <is>
          <t xml:space="preserve">RN-09</t>
        </is>
      </c>
      <c r="M136" s="5" t="inlineStr">
        <is>
          <t xml:space="preserve"/>
        </is>
      </c>
      <c r="N136" s="5" t="inlineStr">
        <is>
          <t xml:space="preserve">—</t>
        </is>
      </c>
      <c r="O136" s="5" t="inlineStr">
        <is>
          <t xml:space="preserve">RF-001.3</t>
        </is>
      </c>
    </row>
    <row r="137">
      <c r="A137" s="5" t="inlineStr">
        <is>
          <t xml:space="preserve">RF-130</t>
        </is>
      </c>
      <c r="B137" s="4" t="inlineStr">
        <is>
          <t xml:space="preserve">RF</t>
        </is>
      </c>
      <c r="C137" s="5" t="inlineStr">
        <is>
          <t xml:space="preserve">El sistema deberá registrar la traza del cálculo del disponible, incluyendo el valor de cada término de la fórmula y la versión de parámetros aplicada.</t>
        </is>
      </c>
      <c r="D137" s="5" t="inlineStr">
        <is>
          <t xml:space="preserve">R:M-03</t>
        </is>
      </c>
      <c r="E137" s="5" t="inlineStr">
        <is>
          <t xml:space="preserve">Servicio de existencias</t>
        </is>
      </c>
      <c r="F137" s="5" t="inlineStr">
        <is>
          <t xml:space="preserve">Retail</t>
        </is>
      </c>
      <c r="G137" s="4" t="inlineStr">
        <is>
          <t xml:space="preserve">1</t>
        </is>
      </c>
      <c r="H137" s="4" t="inlineStr">
        <is>
          <t xml:space="preserve">Alta</t>
        </is>
      </c>
      <c r="I137" s="5" t="inlineStr">
        <is>
          <t xml:space="preserve">Retail</t>
        </is>
      </c>
      <c r="J137" s="5" t="inlineStr">
        <is>
          <t xml:space="preserve">—</t>
        </is>
      </c>
      <c r="K137" s="5" t="inlineStr">
        <is>
          <t xml:space="preserve">—</t>
        </is>
      </c>
      <c r="L137" s="5" t="inlineStr">
        <is>
          <t xml:space="preserve">RN-09</t>
        </is>
      </c>
      <c r="M137" s="5" t="inlineStr">
        <is>
          <t xml:space="preserve"/>
        </is>
      </c>
      <c r="N137" s="5" t="inlineStr">
        <is>
          <t xml:space="preserve">—</t>
        </is>
      </c>
      <c r="O137" s="5" t="inlineStr">
        <is>
          <t xml:space="preserve">RF-001.4</t>
        </is>
      </c>
    </row>
    <row r="138">
      <c r="A138" s="5" t="inlineStr">
        <is>
          <t xml:space="preserve">RF-131</t>
        </is>
      </c>
      <c r="B138" s="4" t="inlineStr">
        <is>
          <t xml:space="preserve">RF</t>
        </is>
      </c>
      <c r="C138" s="5" t="inlineStr">
        <is>
          <t xml:space="preserve">El sistema deberá permitir parametrizar la frecuencia de conteo cíclico por categoría.</t>
        </is>
      </c>
      <c r="D138" s="5" t="inlineStr">
        <is>
          <t xml:space="preserve">R:M-03</t>
        </is>
      </c>
      <c r="E138" s="5" t="inlineStr">
        <is>
          <t xml:space="preserve">Servicio de existencias</t>
        </is>
      </c>
      <c r="F138" s="5" t="inlineStr">
        <is>
          <t xml:space="preserve">Retail</t>
        </is>
      </c>
      <c r="G138" s="4" t="inlineStr">
        <is>
          <t xml:space="preserve">1</t>
        </is>
      </c>
      <c r="H138" s="4" t="inlineStr">
        <is>
          <t xml:space="preserve">Alta</t>
        </is>
      </c>
      <c r="I138" s="5" t="inlineStr">
        <is>
          <t xml:space="preserve">Retail</t>
        </is>
      </c>
      <c r="J138" s="5" t="inlineStr">
        <is>
          <t xml:space="preserve">—</t>
        </is>
      </c>
      <c r="K138" s="5" t="inlineStr">
        <is>
          <t xml:space="preserve">—</t>
        </is>
      </c>
      <c r="L138" s="5" t="inlineStr">
        <is>
          <t xml:space="preserve">RN-13</t>
        </is>
      </c>
      <c r="M138" s="5" t="inlineStr">
        <is>
          <t xml:space="preserve"/>
        </is>
      </c>
      <c r="N138" s="5" t="inlineStr">
        <is>
          <t xml:space="preserve">—</t>
        </is>
      </c>
      <c r="O138" s="5" t="inlineStr">
        <is>
          <t xml:space="preserve">RF-002.1</t>
        </is>
      </c>
    </row>
    <row r="139">
      <c r="A139" s="5" t="inlineStr">
        <is>
          <t xml:space="preserve">RF-132</t>
        </is>
      </c>
      <c r="B139" s="4" t="inlineStr">
        <is>
          <t xml:space="preserve">RF</t>
        </is>
      </c>
      <c r="C139" s="5" t="inlineStr">
        <is>
          <t xml:space="preserve">El sistema deberá permitir parametrizar el método de conteo por categoría.</t>
        </is>
      </c>
      <c r="D139" s="5" t="inlineStr">
        <is>
          <t xml:space="preserve">R:M-03</t>
        </is>
      </c>
      <c r="E139" s="5" t="inlineStr">
        <is>
          <t xml:space="preserve">Servicio de existencias</t>
        </is>
      </c>
      <c r="F139" s="5" t="inlineStr">
        <is>
          <t xml:space="preserve">Retail</t>
        </is>
      </c>
      <c r="G139" s="4" t="inlineStr">
        <is>
          <t xml:space="preserve">1</t>
        </is>
      </c>
      <c r="H139" s="4" t="inlineStr">
        <is>
          <t xml:space="preserve">Alta</t>
        </is>
      </c>
      <c r="I139" s="5" t="inlineStr">
        <is>
          <t xml:space="preserve">Retail</t>
        </is>
      </c>
      <c r="J139" s="5" t="inlineStr">
        <is>
          <t xml:space="preserve">—</t>
        </is>
      </c>
      <c r="K139" s="5" t="inlineStr">
        <is>
          <t xml:space="preserve">—</t>
        </is>
      </c>
      <c r="L139" s="5" t="inlineStr">
        <is>
          <t xml:space="preserve">RN-13</t>
        </is>
      </c>
      <c r="M139" s="5" t="inlineStr">
        <is>
          <t xml:space="preserve"/>
        </is>
      </c>
      <c r="N139" s="5" t="inlineStr">
        <is>
          <t xml:space="preserve">—</t>
        </is>
      </c>
      <c r="O139" s="5" t="inlineStr">
        <is>
          <t xml:space="preserve">RF-002.2</t>
        </is>
      </c>
    </row>
    <row r="140">
      <c r="A140" s="5" t="inlineStr">
        <is>
          <t xml:space="preserve">RF-133</t>
        </is>
      </c>
      <c r="B140" s="4" t="inlineStr">
        <is>
          <t xml:space="preserve">RF</t>
        </is>
      </c>
      <c r="C140" s="5" t="inlineStr">
        <is>
          <t xml:space="preserve">El sistema deberá permitir parametrizar el criterio de gatillo de recuento extraordinario por categoría.</t>
        </is>
      </c>
      <c r="D140" s="5" t="inlineStr">
        <is>
          <t xml:space="preserve">R:M-03</t>
        </is>
      </c>
      <c r="E140" s="5" t="inlineStr">
        <is>
          <t xml:space="preserve">Servicio de existencias</t>
        </is>
      </c>
      <c r="F140" s="5" t="inlineStr">
        <is>
          <t xml:space="preserve">Retail</t>
        </is>
      </c>
      <c r="G140" s="4" t="inlineStr">
        <is>
          <t xml:space="preserve">1</t>
        </is>
      </c>
      <c r="H140" s="4" t="inlineStr">
        <is>
          <t xml:space="preserve">Alta</t>
        </is>
      </c>
      <c r="I140" s="5" t="inlineStr">
        <is>
          <t xml:space="preserve">Retail</t>
        </is>
      </c>
      <c r="J140" s="5" t="inlineStr">
        <is>
          <t xml:space="preserve">—</t>
        </is>
      </c>
      <c r="K140" s="5" t="inlineStr">
        <is>
          <t xml:space="preserve">—</t>
        </is>
      </c>
      <c r="L140" s="5" t="inlineStr">
        <is>
          <t xml:space="preserve">RN-13</t>
        </is>
      </c>
      <c r="M140" s="5" t="inlineStr">
        <is>
          <t xml:space="preserve"/>
        </is>
      </c>
      <c r="N140" s="5" t="inlineStr">
        <is>
          <t xml:space="preserve">—</t>
        </is>
      </c>
      <c r="O140" s="5" t="inlineStr">
        <is>
          <t xml:space="preserve">RF-002.3</t>
        </is>
      </c>
    </row>
    <row r="141">
      <c r="A141" s="5" t="inlineStr">
        <is>
          <t xml:space="preserve">RF-134</t>
        </is>
      </c>
      <c r="B141" s="4" t="inlineStr">
        <is>
          <t xml:space="preserve">RF</t>
        </is>
      </c>
      <c r="C141" s="5" t="inlineStr">
        <is>
          <t xml:space="preserve">El sistema deberá generar la programación de conteos cíclicos según la frecuencia parametrizada de cada categoría.</t>
        </is>
      </c>
      <c r="D141" s="5" t="inlineStr">
        <is>
          <t xml:space="preserve">R:M-03</t>
        </is>
      </c>
      <c r="E141" s="5" t="inlineStr">
        <is>
          <t xml:space="preserve">Servicio de existencias</t>
        </is>
      </c>
      <c r="F141" s="5" t="inlineStr">
        <is>
          <t xml:space="preserve">Retail</t>
        </is>
      </c>
      <c r="G141" s="4" t="inlineStr">
        <is>
          <t xml:space="preserve">1</t>
        </is>
      </c>
      <c r="H141" s="4" t="inlineStr">
        <is>
          <t xml:space="preserve">Alta</t>
        </is>
      </c>
      <c r="I141" s="5" t="inlineStr">
        <is>
          <t xml:space="preserve">Retail</t>
        </is>
      </c>
      <c r="J141" s="5" t="inlineStr">
        <is>
          <t xml:space="preserve">—</t>
        </is>
      </c>
      <c r="K141" s="5" t="inlineStr">
        <is>
          <t xml:space="preserve">—</t>
        </is>
      </c>
      <c r="L141" s="5" t="inlineStr">
        <is>
          <t xml:space="preserve">RN-13</t>
        </is>
      </c>
      <c r="M141" s="5" t="inlineStr">
        <is>
          <t xml:space="preserve"/>
        </is>
      </c>
      <c r="N141" s="5" t="inlineStr">
        <is>
          <t xml:space="preserve">—</t>
        </is>
      </c>
      <c r="O141" s="5" t="inlineStr">
        <is>
          <t xml:space="preserve">RF-002.4</t>
        </is>
      </c>
    </row>
    <row r="142">
      <c r="A142" s="5" t="inlineStr">
        <is>
          <t xml:space="preserve">RF-135</t>
        </is>
      </c>
      <c r="B142" s="4" t="inlineStr">
        <is>
          <t xml:space="preserve">RF</t>
        </is>
      </c>
      <c r="C142" s="5" t="inlineStr">
        <is>
          <t xml:space="preserve">El sistema debe permitir registrar el resultado del conteo cíclico.</t>
        </is>
      </c>
      <c r="D142" s="5" t="inlineStr">
        <is>
          <t xml:space="preserve">R:M-03</t>
        </is>
      </c>
      <c r="E142" s="5" t="inlineStr">
        <is>
          <t xml:space="preserve">Servicio de existencias</t>
        </is>
      </c>
      <c r="F142" s="5" t="inlineStr">
        <is>
          <t xml:space="preserve">Retail</t>
        </is>
      </c>
      <c r="G142" s="4" t="inlineStr">
        <is>
          <t xml:space="preserve">1</t>
        </is>
      </c>
      <c r="H142" s="4" t="inlineStr">
        <is>
          <t xml:space="preserve">Alta</t>
        </is>
      </c>
      <c r="I142" s="5" t="inlineStr">
        <is>
          <t xml:space="preserve">Retail</t>
        </is>
      </c>
      <c r="J142" s="5" t="inlineStr">
        <is>
          <t xml:space="preserve">—</t>
        </is>
      </c>
      <c r="K142" s="5" t="inlineStr">
        <is>
          <t xml:space="preserve">—</t>
        </is>
      </c>
      <c r="L142" s="5" t="inlineStr">
        <is>
          <t xml:space="preserve">RN-13</t>
        </is>
      </c>
      <c r="M142" s="5" t="inlineStr">
        <is>
          <t xml:space="preserve"/>
        </is>
      </c>
      <c r="N142" s="5" t="inlineStr">
        <is>
          <t xml:space="preserve">RF-002.5</t>
        </is>
      </c>
      <c r="O142" s="5" t="inlineStr">
        <is>
          <t xml:space="preserve">RF-002.5a</t>
        </is>
      </c>
    </row>
    <row r="143">
      <c r="A143" s="6" t="inlineStr">
        <is>
          <t xml:space="preserve">RNF-03</t>
        </is>
      </c>
      <c r="B143" s="4" t="inlineStr">
        <is>
          <t xml:space="preserve">RNF</t>
        </is>
      </c>
      <c r="C143" s="6" t="inlineStr">
        <is>
          <t xml:space="preserve">El registro del conteo cíclico no debe bloquear ni degradar la operación de venta de la sala.</t>
        </is>
      </c>
      <c r="D143" s="6" t="inlineStr">
        <is>
          <t xml:space="preserve">—</t>
        </is>
      </c>
      <c r="E143" s="6" t="inlineStr">
        <is>
          <t xml:space="preserve">Base tecnológica</t>
        </is>
      </c>
      <c r="F143" s="6" t="inlineStr">
        <is>
          <t xml:space="preserve">Ambos</t>
        </is>
      </c>
      <c r="G143" s="4" t="inlineStr">
        <is>
          <t xml:space="preserve">1</t>
        </is>
      </c>
      <c r="H143" s="4" t="inlineStr">
        <is>
          <t xml:space="preserve">Alta</t>
        </is>
      </c>
      <c r="I143" s="6" t="inlineStr">
        <is>
          <t xml:space="preserve">Retail</t>
        </is>
      </c>
      <c r="J143" s="6" t="inlineStr">
        <is>
          <t xml:space="preserve">0 bloqueos de la línea de caja durante el conteo; degradación del tiempo de venta &lt;= 5 % respecto de la línea base de RNF-18.</t>
        </is>
      </c>
      <c r="K143" s="6" t="inlineStr">
        <is>
          <t xml:space="preserve">Prueba de conteo cíclico ejecutado en horario de venta con medición simultánea del tiempo de transacción en caja.</t>
        </is>
      </c>
      <c r="L143" s="6" t="inlineStr">
        <is>
          <t xml:space="preserve">RN-13</t>
        </is>
      </c>
      <c r="M143" s="6" t="inlineStr">
        <is>
          <t xml:space="preserve"/>
        </is>
      </c>
      <c r="N143" s="6" t="inlineStr">
        <is>
          <t xml:space="preserve">RF-002.5</t>
        </is>
      </c>
      <c r="O143" s="6" t="inlineStr">
        <is>
          <t xml:space="preserve">NFR-38</t>
        </is>
      </c>
    </row>
    <row r="144">
      <c r="A144" s="5" t="inlineStr">
        <is>
          <t xml:space="preserve">RF-136</t>
        </is>
      </c>
      <c r="B144" s="4" t="inlineStr">
        <is>
          <t xml:space="preserve">RF</t>
        </is>
      </c>
      <c r="C144" s="5" t="inlineStr">
        <is>
          <t xml:space="preserve">El sistema deberá señalar automáticamente los pasillos o referencias que requieren recuento extraordinario.</t>
        </is>
      </c>
      <c r="D144" s="5" t="inlineStr">
        <is>
          <t xml:space="preserve">R:M-03</t>
        </is>
      </c>
      <c r="E144" s="5" t="inlineStr">
        <is>
          <t xml:space="preserve">Servicio de existencias</t>
        </is>
      </c>
      <c r="F144" s="5" t="inlineStr">
        <is>
          <t xml:space="preserve">Retail</t>
        </is>
      </c>
      <c r="G144" s="4" t="inlineStr">
        <is>
          <t xml:space="preserve">1</t>
        </is>
      </c>
      <c r="H144" s="4" t="inlineStr">
        <is>
          <t xml:space="preserve">Alta</t>
        </is>
      </c>
      <c r="I144" s="5" t="inlineStr">
        <is>
          <t xml:space="preserve">Retail</t>
        </is>
      </c>
      <c r="J144" s="5" t="inlineStr">
        <is>
          <t xml:space="preserve">—</t>
        </is>
      </c>
      <c r="K144" s="5" t="inlineStr">
        <is>
          <t xml:space="preserve">—</t>
        </is>
      </c>
      <c r="L144" s="5" t="inlineStr">
        <is>
          <t xml:space="preserve">RN-13</t>
        </is>
      </c>
      <c r="M144" s="5" t="inlineStr">
        <is>
          <t xml:space="preserve"/>
        </is>
      </c>
      <c r="N144" s="5" t="inlineStr">
        <is>
          <t xml:space="preserve">—</t>
        </is>
      </c>
      <c r="O144" s="5" t="inlineStr">
        <is>
          <t xml:space="preserve">RF-002.6</t>
        </is>
      </c>
    </row>
    <row r="145">
      <c r="A145" s="5" t="inlineStr">
        <is>
          <t xml:space="preserve">RF-137</t>
        </is>
      </c>
      <c r="B145" s="4" t="inlineStr">
        <is>
          <t xml:space="preserve">RF</t>
        </is>
      </c>
      <c r="C145" s="5" t="inlineStr">
        <is>
          <t xml:space="preserve">El sistema deberá calcular la exactitud de inventario resultante por categoría.</t>
        </is>
      </c>
      <c r="D145" s="5" t="inlineStr">
        <is>
          <t xml:space="preserve">R:M-03</t>
        </is>
      </c>
      <c r="E145" s="5" t="inlineStr">
        <is>
          <t xml:space="preserve">Servicio de existencias</t>
        </is>
      </c>
      <c r="F145" s="5" t="inlineStr">
        <is>
          <t xml:space="preserve">Retail</t>
        </is>
      </c>
      <c r="G145" s="4" t="inlineStr">
        <is>
          <t xml:space="preserve">1</t>
        </is>
      </c>
      <c r="H145" s="4" t="inlineStr">
        <is>
          <t xml:space="preserve">Alta</t>
        </is>
      </c>
      <c r="I145" s="5" t="inlineStr">
        <is>
          <t xml:space="preserve">Retail</t>
        </is>
      </c>
      <c r="J145" s="5" t="inlineStr">
        <is>
          <t xml:space="preserve">—</t>
        </is>
      </c>
      <c r="K145" s="5" t="inlineStr">
        <is>
          <t xml:space="preserve">—</t>
        </is>
      </c>
      <c r="L145" s="5" t="inlineStr">
        <is>
          <t xml:space="preserve">RN-13, RN-11</t>
        </is>
      </c>
      <c r="M145" s="5" t="inlineStr">
        <is>
          <t xml:space="preserve"/>
        </is>
      </c>
      <c r="N145" s="5" t="inlineStr">
        <is>
          <t xml:space="preserve">—</t>
        </is>
      </c>
      <c r="O145" s="5" t="inlineStr">
        <is>
          <t xml:space="preserve">RF-002.7</t>
        </is>
      </c>
    </row>
    <row r="146">
      <c r="A146" s="5" t="inlineStr">
        <is>
          <t xml:space="preserve">RF-138</t>
        </is>
      </c>
      <c r="B146" s="4" t="inlineStr">
        <is>
          <t xml:space="preserve">RF</t>
        </is>
      </c>
      <c r="C146" s="5" t="inlineStr">
        <is>
          <t xml:space="preserve">El sistema deberá permitir clasificar cada diferencia detectada en uno de los componentes de merma definidos (pérdida física, daño no dado de baja, error de recepción, unidad mal ubicada, devolución mal reintegrada, error de digitación).</t>
        </is>
      </c>
      <c r="D146" s="5" t="inlineStr">
        <is>
          <t xml:space="preserve">R:M-03</t>
        </is>
      </c>
      <c r="E146" s="5" t="inlineStr">
        <is>
          <t xml:space="preserve">Servicio de existencias</t>
        </is>
      </c>
      <c r="F146" s="5" t="inlineStr">
        <is>
          <t xml:space="preserve">Retail</t>
        </is>
      </c>
      <c r="G146" s="4" t="inlineStr">
        <is>
          <t xml:space="preserve">1</t>
        </is>
      </c>
      <c r="H146" s="4" t="inlineStr">
        <is>
          <t xml:space="preserve">Alta</t>
        </is>
      </c>
      <c r="I146" s="5" t="inlineStr">
        <is>
          <t xml:space="preserve">Retail</t>
        </is>
      </c>
      <c r="J146" s="5" t="inlineStr">
        <is>
          <t xml:space="preserve">—</t>
        </is>
      </c>
      <c r="K146" s="5" t="inlineStr">
        <is>
          <t xml:space="preserve">—</t>
        </is>
      </c>
      <c r="L146" s="5" t="inlineStr">
        <is>
          <t xml:space="preserve">RN-12</t>
        </is>
      </c>
      <c r="M146" s="5" t="inlineStr">
        <is>
          <t xml:space="preserve">Clasificar la merma de un ajuste de inventario es parte del servicio de existencias, igual que RF-139 a RF-141.</t>
        </is>
      </c>
      <c r="N146" s="5" t="inlineStr">
        <is>
          <t xml:space="preserve">—</t>
        </is>
      </c>
      <c r="O146" s="5" t="inlineStr">
        <is>
          <t xml:space="preserve">RF-003.1</t>
        </is>
      </c>
    </row>
    <row r="147">
      <c r="A147" s="5" t="inlineStr">
        <is>
          <t xml:space="preserve">RF-139</t>
        </is>
      </c>
      <c r="B147" s="4" t="inlineStr">
        <is>
          <t xml:space="preserve">RF</t>
        </is>
      </c>
      <c r="C147" s="5" t="inlineStr">
        <is>
          <t xml:space="preserve">El sistema deberá impedir el cierre de un ajuste de inventario que no tenga asignado un componente de merma.</t>
        </is>
      </c>
      <c r="D147" s="5" t="inlineStr">
        <is>
          <t xml:space="preserve">R:M-03</t>
        </is>
      </c>
      <c r="E147" s="5" t="inlineStr">
        <is>
          <t xml:space="preserve">Servicio de existencias</t>
        </is>
      </c>
      <c r="F147" s="5" t="inlineStr">
        <is>
          <t xml:space="preserve">Retail</t>
        </is>
      </c>
      <c r="G147" s="4" t="inlineStr">
        <is>
          <t xml:space="preserve">1</t>
        </is>
      </c>
      <c r="H147" s="4" t="inlineStr">
        <is>
          <t xml:space="preserve">Alta</t>
        </is>
      </c>
      <c r="I147" s="5" t="inlineStr">
        <is>
          <t xml:space="preserve">Retail</t>
        </is>
      </c>
      <c r="J147" s="5" t="inlineStr">
        <is>
          <t xml:space="preserve">—</t>
        </is>
      </c>
      <c r="K147" s="5" t="inlineStr">
        <is>
          <t xml:space="preserve">—</t>
        </is>
      </c>
      <c r="L147" s="5" t="inlineStr">
        <is>
          <t xml:space="preserve">RN-12</t>
        </is>
      </c>
      <c r="M147" s="5" t="inlineStr">
        <is>
          <t xml:space="preserve"/>
        </is>
      </c>
      <c r="N147" s="5" t="inlineStr">
        <is>
          <t xml:space="preserve">—</t>
        </is>
      </c>
      <c r="O147" s="5" t="inlineStr">
        <is>
          <t xml:space="preserve">RF-003.2</t>
        </is>
      </c>
    </row>
    <row r="148">
      <c r="A148" s="5" t="inlineStr">
        <is>
          <t xml:space="preserve">RF-140</t>
        </is>
      </c>
      <c r="B148" s="4" t="inlineStr">
        <is>
          <t xml:space="preserve">RF</t>
        </is>
      </c>
      <c r="C148" s="5" t="inlineStr">
        <is>
          <t xml:space="preserve">El sistema deberá cuantificar el monto y la proporción de cada componente de merma sobre el total del período.</t>
        </is>
      </c>
      <c r="D148" s="5" t="inlineStr">
        <is>
          <t xml:space="preserve">R:M-03</t>
        </is>
      </c>
      <c r="E148" s="5" t="inlineStr">
        <is>
          <t xml:space="preserve">Servicio de existencias</t>
        </is>
      </c>
      <c r="F148" s="5" t="inlineStr">
        <is>
          <t xml:space="preserve">Retail</t>
        </is>
      </c>
      <c r="G148" s="4" t="inlineStr">
        <is>
          <t xml:space="preserve">1</t>
        </is>
      </c>
      <c r="H148" s="4" t="inlineStr">
        <is>
          <t xml:space="preserve">Alta</t>
        </is>
      </c>
      <c r="I148" s="5" t="inlineStr">
        <is>
          <t xml:space="preserve">Retail</t>
        </is>
      </c>
      <c r="J148" s="5" t="inlineStr">
        <is>
          <t xml:space="preserve">—</t>
        </is>
      </c>
      <c r="K148" s="5" t="inlineStr">
        <is>
          <t xml:space="preserve">—</t>
        </is>
      </c>
      <c r="L148" s="5" t="inlineStr">
        <is>
          <t xml:space="preserve">RN-12</t>
        </is>
      </c>
      <c r="M148" s="5" t="inlineStr">
        <is>
          <t xml:space="preserve"/>
        </is>
      </c>
      <c r="N148" s="5" t="inlineStr">
        <is>
          <t xml:space="preserve">—</t>
        </is>
      </c>
      <c r="O148" s="5" t="inlineStr">
        <is>
          <t xml:space="preserve">RF-003.3</t>
        </is>
      </c>
    </row>
    <row r="149">
      <c r="A149" s="5" t="inlineStr">
        <is>
          <t xml:space="preserve">RF-141</t>
        </is>
      </c>
      <c r="B149" s="4" t="inlineStr">
        <is>
          <t xml:space="preserve">RF</t>
        </is>
      </c>
      <c r="C149" s="5" t="inlineStr">
        <is>
          <t xml:space="preserve">El sistema deberá generar el informe mensual de merma cuya suma de componentes sea igual al total registrado en el período.</t>
        </is>
      </c>
      <c r="D149" s="5" t="inlineStr">
        <is>
          <t xml:space="preserve">R:M-03</t>
        </is>
      </c>
      <c r="E149" s="5" t="inlineStr">
        <is>
          <t xml:space="preserve">Servicio de existencias</t>
        </is>
      </c>
      <c r="F149" s="5" t="inlineStr">
        <is>
          <t xml:space="preserve">Retail</t>
        </is>
      </c>
      <c r="G149" s="4" t="inlineStr">
        <is>
          <t xml:space="preserve">1</t>
        </is>
      </c>
      <c r="H149" s="4" t="inlineStr">
        <is>
          <t xml:space="preserve">Alta</t>
        </is>
      </c>
      <c r="I149" s="5" t="inlineStr">
        <is>
          <t xml:space="preserve">Retail</t>
        </is>
      </c>
      <c r="J149" s="5" t="inlineStr">
        <is>
          <t xml:space="preserve">—</t>
        </is>
      </c>
      <c r="K149" s="5" t="inlineStr">
        <is>
          <t xml:space="preserve">—</t>
        </is>
      </c>
      <c r="L149" s="5" t="inlineStr">
        <is>
          <t xml:space="preserve">RN-12</t>
        </is>
      </c>
      <c r="M149" s="5" t="inlineStr">
        <is>
          <t xml:space="preserve"/>
        </is>
      </c>
      <c r="N149" s="5" t="inlineStr">
        <is>
          <t xml:space="preserve">—</t>
        </is>
      </c>
      <c r="O149" s="5" t="inlineStr">
        <is>
          <t xml:space="preserve">RF-003.4</t>
        </is>
      </c>
    </row>
    <row r="150">
      <c r="A150" s="5" t="inlineStr">
        <is>
          <t xml:space="preserve">RF-142</t>
        </is>
      </c>
      <c r="B150" s="4" t="inlineStr">
        <is>
          <t xml:space="preserve">RF</t>
        </is>
      </c>
      <c r="C150" s="5" t="inlineStr">
        <is>
          <t xml:space="preserve">El sistema deberá exigir al analista comercial completar los atributos obligatorios de la referencia (categoría, dimensiones, fragilidad, volumen, restricción de despacho) antes de guardar el registro como apto para uso operativo.</t>
        </is>
      </c>
      <c r="D150" s="5" t="inlineStr">
        <is>
          <t xml:space="preserve">R:M-01</t>
        </is>
      </c>
      <c r="E150" s="5" t="inlineStr">
        <is>
          <t xml:space="preserve">Servicio de oferta comercial</t>
        </is>
      </c>
      <c r="F150" s="5" t="inlineStr">
        <is>
          <t xml:space="preserve">Retail</t>
        </is>
      </c>
      <c r="G150" s="4" t="inlineStr">
        <is>
          <t xml:space="preserve">1</t>
        </is>
      </c>
      <c r="H150" s="4" t="inlineStr">
        <is>
          <t xml:space="preserve">Alta</t>
        </is>
      </c>
      <c r="I150" s="5" t="inlineStr">
        <is>
          <t xml:space="preserve">Retail</t>
        </is>
      </c>
      <c r="J150" s="5" t="inlineStr">
        <is>
          <t xml:space="preserve">—</t>
        </is>
      </c>
      <c r="K150" s="5" t="inlineStr">
        <is>
          <t xml:space="preserve">—</t>
        </is>
      </c>
      <c r="L150" s="5" t="inlineStr">
        <is>
          <t xml:space="preserve">RN-P01</t>
        </is>
      </c>
      <c r="M150" s="5" t="inlineStr">
        <is>
          <t xml:space="preserve">Los atributos del maestro de artículos son datos del servicio de oferta comercial.</t>
        </is>
      </c>
      <c r="N150" s="5" t="inlineStr">
        <is>
          <t xml:space="preserve">—</t>
        </is>
      </c>
      <c r="O150" s="5" t="inlineStr">
        <is>
          <t xml:space="preserve">RF-004A</t>
        </is>
      </c>
    </row>
    <row r="151">
      <c r="A151" s="5" t="inlineStr">
        <is>
          <t xml:space="preserve">RF-143</t>
        </is>
      </c>
      <c r="B151" s="4" t="inlineStr">
        <is>
          <t xml:space="preserve">RF</t>
        </is>
      </c>
      <c r="C151" s="5" t="inlineStr">
        <is>
          <t xml:space="preserve">El sistema deberá impedir la publicación de esa referencia en el canal digital mientras no cuente con los atributos obligatorios completos.</t>
        </is>
      </c>
      <c r="D151" s="5" t="inlineStr">
        <is>
          <t xml:space="preserve">R:M-01</t>
        </is>
      </c>
      <c r="E151" s="5" t="inlineStr">
        <is>
          <t xml:space="preserve">Servicio de oferta comercial</t>
        </is>
      </c>
      <c r="F151" s="5" t="inlineStr">
        <is>
          <t xml:space="preserve">Retail</t>
        </is>
      </c>
      <c r="G151" s="4" t="inlineStr">
        <is>
          <t xml:space="preserve">1</t>
        </is>
      </c>
      <c r="H151" s="4" t="inlineStr">
        <is>
          <t xml:space="preserve">Alta</t>
        </is>
      </c>
      <c r="I151" s="5" t="inlineStr">
        <is>
          <t xml:space="preserve">Retail</t>
        </is>
      </c>
      <c r="J151" s="5" t="inlineStr">
        <is>
          <t xml:space="preserve">—</t>
        </is>
      </c>
      <c r="K151" s="5" t="inlineStr">
        <is>
          <t xml:space="preserve">—</t>
        </is>
      </c>
      <c r="L151" s="5" t="inlineStr">
        <is>
          <t xml:space="preserve">RN-P01</t>
        </is>
      </c>
      <c r="M151" s="5" t="inlineStr">
        <is>
          <t xml:space="preserve">La publicación de la referencia es función del servicio de oferta comercial.</t>
        </is>
      </c>
      <c r="N151" s="5" t="inlineStr">
        <is>
          <t xml:space="preserve">—</t>
        </is>
      </c>
      <c r="O151" s="5" t="inlineStr">
        <is>
          <t xml:space="preserve">RF-004B</t>
        </is>
      </c>
    </row>
    <row r="152">
      <c r="A152" s="5" t="inlineStr">
        <is>
          <t xml:space="preserve">RF-144</t>
        </is>
      </c>
      <c r="B152" s="4" t="inlineStr">
        <is>
          <t xml:space="preserve">RF</t>
        </is>
      </c>
      <c r="C152" s="5" t="inlineStr">
        <is>
          <t xml:space="preserve">El sistema deberá generar automáticamente la propuesta diaria de reposición utilizando el disponible para vender calculado en RF-127.</t>
        </is>
      </c>
      <c r="D152" s="5" t="inlineStr">
        <is>
          <t xml:space="preserve">R:M-02</t>
        </is>
      </c>
      <c r="E152" s="5" t="inlineStr">
        <is>
          <t xml:space="preserve">Servicio de abastecimiento</t>
        </is>
      </c>
      <c r="F152" s="5" t="inlineStr">
        <is>
          <t xml:space="preserve">Retail</t>
        </is>
      </c>
      <c r="G152" s="4" t="inlineStr">
        <is>
          <t xml:space="preserve">2</t>
        </is>
      </c>
      <c r="H152" s="4" t="inlineStr">
        <is>
          <t xml:space="preserve">Media</t>
        </is>
      </c>
      <c r="I152" s="5" t="inlineStr">
        <is>
          <t xml:space="preserve">Retail</t>
        </is>
      </c>
      <c r="J152" s="5" t="inlineStr">
        <is>
          <t xml:space="preserve">—</t>
        </is>
      </c>
      <c r="K152" s="5" t="inlineStr">
        <is>
          <t xml:space="preserve">—</t>
        </is>
      </c>
      <c r="L152" s="5" t="inlineStr">
        <is>
          <t xml:space="preserve">RN-08, RN-09</t>
        </is>
      </c>
      <c r="M152" s="5" t="inlineStr">
        <is>
          <t xml:space="preserve"/>
        </is>
      </c>
      <c r="N152" s="5" t="inlineStr">
        <is>
          <t xml:space="preserve">—</t>
        </is>
      </c>
      <c r="O152" s="5" t="inlineStr">
        <is>
          <t xml:space="preserve">RF-005.1</t>
        </is>
      </c>
    </row>
    <row r="153">
      <c r="A153" s="5" t="inlineStr">
        <is>
          <t xml:space="preserve">RF-145</t>
        </is>
      </c>
      <c r="B153" s="4" t="inlineStr">
        <is>
          <t xml:space="preserve">RF</t>
        </is>
      </c>
      <c r="C153" s="5" t="inlineStr">
        <is>
          <t xml:space="preserve">El sistema deberá permitir al planificador de logística ajustar la propuesta de reposición antes de confirmar el envío.</t>
        </is>
      </c>
      <c r="D153" s="5" t="inlineStr">
        <is>
          <t xml:space="preserve">R:M-02</t>
        </is>
      </c>
      <c r="E153" s="5" t="inlineStr">
        <is>
          <t xml:space="preserve">Servicio de abastecimiento</t>
        </is>
      </c>
      <c r="F153" s="5" t="inlineStr">
        <is>
          <t xml:space="preserve">Retail</t>
        </is>
      </c>
      <c r="G153" s="4" t="inlineStr">
        <is>
          <t xml:space="preserve">2</t>
        </is>
      </c>
      <c r="H153" s="4" t="inlineStr">
        <is>
          <t xml:space="preserve">Media</t>
        </is>
      </c>
      <c r="I153" s="5" t="inlineStr">
        <is>
          <t xml:space="preserve">Retail</t>
        </is>
      </c>
      <c r="J153" s="5" t="inlineStr">
        <is>
          <t xml:space="preserve">—</t>
        </is>
      </c>
      <c r="K153" s="5" t="inlineStr">
        <is>
          <t xml:space="preserve">—</t>
        </is>
      </c>
      <c r="L153" s="5" t="inlineStr">
        <is>
          <t xml:space="preserve">RN-09</t>
        </is>
      </c>
      <c r="M153" s="5" t="inlineStr">
        <is>
          <t xml:space="preserve"/>
        </is>
      </c>
      <c r="N153" s="5" t="inlineStr">
        <is>
          <t xml:space="preserve">—</t>
        </is>
      </c>
      <c r="O153" s="5" t="inlineStr">
        <is>
          <t xml:space="preserve">RF-005.2</t>
        </is>
      </c>
    </row>
    <row r="154">
      <c r="A154" s="5" t="inlineStr">
        <is>
          <t xml:space="preserve">RF-146</t>
        </is>
      </c>
      <c r="B154" s="4" t="inlineStr">
        <is>
          <t xml:space="preserve">RF</t>
        </is>
      </c>
      <c r="C154" s="5" t="inlineStr">
        <is>
          <t xml:space="preserve">El sistema deberá registrar el ajuste realizado indicando usuario, valor propuesto, valor confirmado e instante.</t>
        </is>
      </c>
      <c r="D154" s="5" t="inlineStr">
        <is>
          <t xml:space="preserve">R:M-02</t>
        </is>
      </c>
      <c r="E154" s="5" t="inlineStr">
        <is>
          <t xml:space="preserve">Servicio de abastecimiento</t>
        </is>
      </c>
      <c r="F154" s="5" t="inlineStr">
        <is>
          <t xml:space="preserve">Retail</t>
        </is>
      </c>
      <c r="G154" s="4" t="inlineStr">
        <is>
          <t xml:space="preserve">2</t>
        </is>
      </c>
      <c r="H154" s="4" t="inlineStr">
        <is>
          <t xml:space="preserve">Media</t>
        </is>
      </c>
      <c r="I154" s="5" t="inlineStr">
        <is>
          <t xml:space="preserve">Retail</t>
        </is>
      </c>
      <c r="J154" s="5" t="inlineStr">
        <is>
          <t xml:space="preserve">—</t>
        </is>
      </c>
      <c r="K154" s="5" t="inlineStr">
        <is>
          <t xml:space="preserve">—</t>
        </is>
      </c>
      <c r="L154" s="5" t="inlineStr">
        <is>
          <t xml:space="preserve">RN-09</t>
        </is>
      </c>
      <c r="M154" s="5" t="inlineStr">
        <is>
          <t xml:space="preserve">Ajustar la propuesta de reposición es parte del servicio de abastecimiento, igual que RF-144 y RF-145.</t>
        </is>
      </c>
      <c r="N154" s="5" t="inlineStr">
        <is>
          <t xml:space="preserve">—</t>
        </is>
      </c>
      <c r="O154" s="5" t="inlineStr">
        <is>
          <t xml:space="preserve">RF-005.3</t>
        </is>
      </c>
    </row>
    <row r="155">
      <c r="A155" s="5" t="inlineStr">
        <is>
          <t xml:space="preserve">RF-147</t>
        </is>
      </c>
      <c r="B155" s="4" t="inlineStr">
        <is>
          <t xml:space="preserve">RF</t>
        </is>
      </c>
      <c r="C155" s="5" t="inlineStr">
        <is>
          <t xml:space="preserve">El sistema debe generar un reporte periódico de referencias con atributos obligatorios incompletos.</t>
        </is>
      </c>
      <c r="D155" s="5" t="inlineStr">
        <is>
          <t xml:space="preserve">R:M-01</t>
        </is>
      </c>
      <c r="E155" s="5" t="inlineStr">
        <is>
          <t xml:space="preserve">Servicio de oferta comercial</t>
        </is>
      </c>
      <c r="F155" s="5" t="inlineStr">
        <is>
          <t xml:space="preserve">Retail</t>
        </is>
      </c>
      <c r="G155" s="4" t="inlineStr">
        <is>
          <t xml:space="preserve">1</t>
        </is>
      </c>
      <c r="H155" s="4" t="inlineStr">
        <is>
          <t xml:space="preserve">Alta</t>
        </is>
      </c>
      <c r="I155" s="5" t="inlineStr">
        <is>
          <t xml:space="preserve">Retail</t>
        </is>
      </c>
      <c r="J155" s="5" t="inlineStr">
        <is>
          <t xml:space="preserve">—</t>
        </is>
      </c>
      <c r="K155" s="5" t="inlineStr">
        <is>
          <t xml:space="preserve">—</t>
        </is>
      </c>
      <c r="L155" s="5" t="inlineStr">
        <is>
          <t xml:space="preserve">RN-P01</t>
        </is>
      </c>
      <c r="M155" s="5" t="inlineStr">
        <is>
          <t xml:space="preserve">Los atributos del maestro de artículos son datos del servicio de oferta comercial.</t>
        </is>
      </c>
      <c r="N155" s="5" t="inlineStr">
        <is>
          <t xml:space="preserve">RF-045</t>
        </is>
      </c>
      <c r="O155" s="5" t="inlineStr">
        <is>
          <t xml:space="preserve">RF-045a</t>
        </is>
      </c>
    </row>
    <row r="156">
      <c r="A156" s="5" t="inlineStr">
        <is>
          <t xml:space="preserve">RF-148</t>
        </is>
      </c>
      <c r="B156" s="4" t="inlineStr">
        <is>
          <t xml:space="preserve">RF</t>
        </is>
      </c>
      <c r="C156" s="5" t="inlineStr">
        <is>
          <t xml:space="preserve">El sistema debe generar un reporte periódico de publicaciones fallidas indicando la causa del error.</t>
        </is>
      </c>
      <c r="D156" s="5" t="inlineStr">
        <is>
          <t xml:space="preserve">R:M-01</t>
        </is>
      </c>
      <c r="E156" s="5" t="inlineStr">
        <is>
          <t xml:space="preserve">Servicio de oferta comercial</t>
        </is>
      </c>
      <c r="F156" s="5" t="inlineStr">
        <is>
          <t xml:space="preserve">Retail</t>
        </is>
      </c>
      <c r="G156" s="4" t="inlineStr">
        <is>
          <t xml:space="preserve">1</t>
        </is>
      </c>
      <c r="H156" s="4" t="inlineStr">
        <is>
          <t xml:space="preserve">Alta</t>
        </is>
      </c>
      <c r="I156" s="5" t="inlineStr">
        <is>
          <t xml:space="preserve">Retail</t>
        </is>
      </c>
      <c r="J156" s="5" t="inlineStr">
        <is>
          <t xml:space="preserve">—</t>
        </is>
      </c>
      <c r="K156" s="5" t="inlineStr">
        <is>
          <t xml:space="preserve">—</t>
        </is>
      </c>
      <c r="L156" s="5" t="inlineStr">
        <is>
          <t xml:space="preserve">RN-P01</t>
        </is>
      </c>
      <c r="M156" s="5" t="inlineStr">
        <is>
          <t xml:space="preserve">La publicación de la referencia es función del servicio de oferta comercial.</t>
        </is>
      </c>
      <c r="N156" s="5" t="inlineStr">
        <is>
          <t xml:space="preserve">RF-045</t>
        </is>
      </c>
      <c r="O156" s="5" t="inlineStr">
        <is>
          <t xml:space="preserve">RF-045b</t>
        </is>
      </c>
    </row>
    <row r="157">
      <c r="A157" s="5" t="inlineStr">
        <is>
          <t xml:space="preserve">RF-149</t>
        </is>
      </c>
      <c r="B157" s="4" t="inlineStr">
        <is>
          <t xml:space="preserve">RF</t>
        </is>
      </c>
      <c r="C157" s="5" t="inlineStr">
        <is>
          <t xml:space="preserve">El sistema debe permitir al gerente de logística definir el valor del colchón de confianza por categoría.</t>
        </is>
      </c>
      <c r="D157" s="5" t="inlineStr">
        <is>
          <t xml:space="preserve">R:M-03</t>
        </is>
      </c>
      <c r="E157" s="5" t="inlineStr">
        <is>
          <t xml:space="preserve">Servicio de existencias</t>
        </is>
      </c>
      <c r="F157" s="5" t="inlineStr">
        <is>
          <t xml:space="preserve">Retail</t>
        </is>
      </c>
      <c r="G157" s="4" t="inlineStr">
        <is>
          <t xml:space="preserve">1</t>
        </is>
      </c>
      <c r="H157" s="4" t="inlineStr">
        <is>
          <t xml:space="preserve">Alta</t>
        </is>
      </c>
      <c r="I157" s="5" t="inlineStr">
        <is>
          <t xml:space="preserve">Retail</t>
        </is>
      </c>
      <c r="J157" s="5" t="inlineStr">
        <is>
          <t xml:space="preserve">—</t>
        </is>
      </c>
      <c r="K157" s="5" t="inlineStr">
        <is>
          <t xml:space="preserve">—</t>
        </is>
      </c>
      <c r="L157" s="5" t="inlineStr">
        <is>
          <t xml:space="preserve">RN-09</t>
        </is>
      </c>
      <c r="M157" s="5" t="inlineStr">
        <is>
          <t xml:space="preserve"/>
        </is>
      </c>
      <c r="N157" s="5" t="inlineStr">
        <is>
          <t xml:space="preserve">RF-046.1</t>
        </is>
      </c>
      <c r="O157" s="5" t="inlineStr">
        <is>
          <t xml:space="preserve">RF-046.1a</t>
        </is>
      </c>
    </row>
    <row r="158">
      <c r="A158" s="5" t="inlineStr">
        <is>
          <t xml:space="preserve">RF-150</t>
        </is>
      </c>
      <c r="B158" s="4" t="inlineStr">
        <is>
          <t xml:space="preserve">RF</t>
        </is>
      </c>
      <c r="C158" s="5" t="inlineStr">
        <is>
          <t xml:space="preserve">El sistema debe permitir al gerente de logística definir el valor del colchón de confianza por punto de existencia.</t>
        </is>
      </c>
      <c r="D158" s="5" t="inlineStr">
        <is>
          <t xml:space="preserve">R:M-03</t>
        </is>
      </c>
      <c r="E158" s="5" t="inlineStr">
        <is>
          <t xml:space="preserve">Servicio de existencias</t>
        </is>
      </c>
      <c r="F158" s="5" t="inlineStr">
        <is>
          <t xml:space="preserve">Retail</t>
        </is>
      </c>
      <c r="G158" s="4" t="inlineStr">
        <is>
          <t xml:space="preserve">1</t>
        </is>
      </c>
      <c r="H158" s="4" t="inlineStr">
        <is>
          <t xml:space="preserve">Alta</t>
        </is>
      </c>
      <c r="I158" s="5" t="inlineStr">
        <is>
          <t xml:space="preserve">Retail</t>
        </is>
      </c>
      <c r="J158" s="5" t="inlineStr">
        <is>
          <t xml:space="preserve">—</t>
        </is>
      </c>
      <c r="K158" s="5" t="inlineStr">
        <is>
          <t xml:space="preserve">—</t>
        </is>
      </c>
      <c r="L158" s="5" t="inlineStr">
        <is>
          <t xml:space="preserve">RN-09</t>
        </is>
      </c>
      <c r="M158" s="5" t="inlineStr">
        <is>
          <t xml:space="preserve"/>
        </is>
      </c>
      <c r="N158" s="5" t="inlineStr">
        <is>
          <t xml:space="preserve">RF-046.1</t>
        </is>
      </c>
      <c r="O158" s="5" t="inlineStr">
        <is>
          <t xml:space="preserve">RF-046.1b</t>
        </is>
      </c>
    </row>
    <row r="159">
      <c r="A159" s="5" t="inlineStr">
        <is>
          <t xml:space="preserve">RF-151</t>
        </is>
      </c>
      <c r="B159" s="4" t="inlineStr">
        <is>
          <t xml:space="preserve">RF</t>
        </is>
      </c>
      <c r="C159" s="5" t="inlineStr">
        <is>
          <t xml:space="preserve">El sistema deberá registrar quien definio o modifico el colchón, cuando, el valor anterior y el valor nuevo.</t>
        </is>
      </c>
      <c r="D159" s="5" t="inlineStr">
        <is>
          <t xml:space="preserve">R:M-03</t>
        </is>
      </c>
      <c r="E159" s="5" t="inlineStr">
        <is>
          <t xml:space="preserve">Servicio de existencias</t>
        </is>
      </c>
      <c r="F159" s="5" t="inlineStr">
        <is>
          <t xml:space="preserve">Retail</t>
        </is>
      </c>
      <c r="G159" s="4" t="inlineStr">
        <is>
          <t xml:space="preserve">1</t>
        </is>
      </c>
      <c r="H159" s="4" t="inlineStr">
        <is>
          <t xml:space="preserve">Alta</t>
        </is>
      </c>
      <c r="I159" s="5" t="inlineStr">
        <is>
          <t xml:space="preserve">Retail</t>
        </is>
      </c>
      <c r="J159" s="5" t="inlineStr">
        <is>
          <t xml:space="preserve">—</t>
        </is>
      </c>
      <c r="K159" s="5" t="inlineStr">
        <is>
          <t xml:space="preserve">—</t>
        </is>
      </c>
      <c r="L159" s="5" t="inlineStr">
        <is>
          <t xml:space="preserve">RN-09</t>
        </is>
      </c>
      <c r="M159" s="5" t="inlineStr">
        <is>
          <t xml:space="preserve"/>
        </is>
      </c>
      <c r="N159" s="5" t="inlineStr">
        <is>
          <t xml:space="preserve">—</t>
        </is>
      </c>
      <c r="O159" s="5" t="inlineStr">
        <is>
          <t xml:space="preserve">RF-046.2</t>
        </is>
      </c>
    </row>
    <row r="160">
      <c r="A160" s="5" t="inlineStr">
        <is>
          <t xml:space="preserve">RF-152</t>
        </is>
      </c>
      <c r="B160" s="4" t="inlineStr">
        <is>
          <t xml:space="preserve">RF</t>
        </is>
      </c>
      <c r="C160" s="5" t="inlineStr">
        <is>
          <t xml:space="preserve">El sistema deberá sugerir un valor de referencia del colchón calculado a partir del histórico de ventas y quiebres de la categoría.</t>
        </is>
      </c>
      <c r="D160" s="5" t="inlineStr">
        <is>
          <t xml:space="preserve">R:M-03</t>
        </is>
      </c>
      <c r="E160" s="5" t="inlineStr">
        <is>
          <t xml:space="preserve">Servicio de existencias</t>
        </is>
      </c>
      <c r="F160" s="5" t="inlineStr">
        <is>
          <t xml:space="preserve">Retail</t>
        </is>
      </c>
      <c r="G160" s="4" t="inlineStr">
        <is>
          <t xml:space="preserve">1</t>
        </is>
      </c>
      <c r="H160" s="4" t="inlineStr">
        <is>
          <t xml:space="preserve">Alta</t>
        </is>
      </c>
      <c r="I160" s="5" t="inlineStr">
        <is>
          <t xml:space="preserve">Retail</t>
        </is>
      </c>
      <c r="J160" s="5" t="inlineStr">
        <is>
          <t xml:space="preserve">—</t>
        </is>
      </c>
      <c r="K160" s="5" t="inlineStr">
        <is>
          <t xml:space="preserve">—</t>
        </is>
      </c>
      <c r="L160" s="5" t="inlineStr">
        <is>
          <t xml:space="preserve">RN-09</t>
        </is>
      </c>
      <c r="M160" s="5" t="inlineStr">
        <is>
          <t xml:space="preserve"/>
        </is>
      </c>
      <c r="N160" s="5" t="inlineStr">
        <is>
          <t xml:space="preserve">—</t>
        </is>
      </c>
      <c r="O160" s="5" t="inlineStr">
        <is>
          <t xml:space="preserve">RF-046.3</t>
        </is>
      </c>
    </row>
    <row r="161">
      <c r="A161" s="5" t="inlineStr">
        <is>
          <t xml:space="preserve">RF-153</t>
        </is>
      </c>
      <c r="B161" s="4" t="inlineStr">
        <is>
          <t xml:space="preserve">RF</t>
        </is>
      </c>
      <c r="C161" s="5" t="inlineStr">
        <is>
          <t xml:space="preserve">El sistema deberá permitir al vendedor de piso registrar las unidades que ingresan al probador.</t>
        </is>
      </c>
      <c r="D161" s="5" t="inlineStr">
        <is>
          <t xml:space="preserve">R:M-03</t>
        </is>
      </c>
      <c r="E161" s="5" t="inlineStr">
        <is>
          <t xml:space="preserve">Servicio de existencias</t>
        </is>
      </c>
      <c r="F161" s="5" t="inlineStr">
        <is>
          <t xml:space="preserve">Retail</t>
        </is>
      </c>
      <c r="G161" s="4" t="inlineStr">
        <is>
          <t xml:space="preserve">1</t>
        </is>
      </c>
      <c r="H161" s="4" t="inlineStr">
        <is>
          <t xml:space="preserve">Alta</t>
        </is>
      </c>
      <c r="I161" s="5" t="inlineStr">
        <is>
          <t xml:space="preserve">Retail</t>
        </is>
      </c>
      <c r="J161" s="5" t="inlineStr">
        <is>
          <t xml:space="preserve">—</t>
        </is>
      </c>
      <c r="K161" s="5" t="inlineStr">
        <is>
          <t xml:space="preserve">—</t>
        </is>
      </c>
      <c r="L161" s="5" t="inlineStr">
        <is>
          <t xml:space="preserve">RN-P02</t>
        </is>
      </c>
      <c r="M161" s="5" t="inlineStr">
        <is>
          <t xml:space="preserve">Mantenido: las unidades en probador son una causa de la imprecisión del registro (causa C1 del capítulo 2).</t>
        </is>
      </c>
      <c r="N161" s="5" t="inlineStr">
        <is>
          <t xml:space="preserve">—</t>
        </is>
      </c>
      <c r="O161" s="5" t="inlineStr">
        <is>
          <t xml:space="preserve">RF-047.1</t>
        </is>
      </c>
    </row>
    <row r="162">
      <c r="A162" s="5" t="inlineStr">
        <is>
          <t xml:space="preserve">RF-154</t>
        </is>
      </c>
      <c r="B162" s="4" t="inlineStr">
        <is>
          <t xml:space="preserve">RF</t>
        </is>
      </c>
      <c r="C162" s="5" t="inlineStr">
        <is>
          <t xml:space="preserve">El sistema deberá excluir del disponible para vender las unidades registradas en probador.</t>
        </is>
      </c>
      <c r="D162" s="5" t="inlineStr">
        <is>
          <t xml:space="preserve">R:M-03</t>
        </is>
      </c>
      <c r="E162" s="5" t="inlineStr">
        <is>
          <t xml:space="preserve">Servicio de existencias</t>
        </is>
      </c>
      <c r="F162" s="5" t="inlineStr">
        <is>
          <t xml:space="preserve">Retail</t>
        </is>
      </c>
      <c r="G162" s="4" t="inlineStr">
        <is>
          <t xml:space="preserve">1</t>
        </is>
      </c>
      <c r="H162" s="4" t="inlineStr">
        <is>
          <t xml:space="preserve">Alta</t>
        </is>
      </c>
      <c r="I162" s="5" t="inlineStr">
        <is>
          <t xml:space="preserve">Retail</t>
        </is>
      </c>
      <c r="J162" s="5" t="inlineStr">
        <is>
          <t xml:space="preserve">—</t>
        </is>
      </c>
      <c r="K162" s="5" t="inlineStr">
        <is>
          <t xml:space="preserve">—</t>
        </is>
      </c>
      <c r="L162" s="5" t="inlineStr">
        <is>
          <t xml:space="preserve">RN-P02, RN-09</t>
        </is>
      </c>
      <c r="M162" s="5" t="inlineStr">
        <is>
          <t xml:space="preserve">Mantenido: las unidades en probador son una causa de la imprecisión del registro (causa C1 del capítulo 2).</t>
        </is>
      </c>
      <c r="N162" s="5" t="inlineStr">
        <is>
          <t xml:space="preserve">—</t>
        </is>
      </c>
      <c r="O162" s="5" t="inlineStr">
        <is>
          <t xml:space="preserve">RF-047.2</t>
        </is>
      </c>
    </row>
    <row r="163">
      <c r="A163" s="5" t="inlineStr">
        <is>
          <t xml:space="preserve">RF-155</t>
        </is>
      </c>
      <c r="B163" s="4" t="inlineStr">
        <is>
          <t xml:space="preserve">RF</t>
        </is>
      </c>
      <c r="C163" s="5" t="inlineStr">
        <is>
          <t xml:space="preserve">El sistema debe permitir al vendedor de piso confirmar el reingreso a sala de la unidad registrada en probador.</t>
        </is>
      </c>
      <c r="D163" s="5" t="inlineStr">
        <is>
          <t xml:space="preserve">R:M-03</t>
        </is>
      </c>
      <c r="E163" s="5" t="inlineStr">
        <is>
          <t xml:space="preserve">Servicio de existencias</t>
        </is>
      </c>
      <c r="F163" s="5" t="inlineStr">
        <is>
          <t xml:space="preserve">Retail</t>
        </is>
      </c>
      <c r="G163" s="4" t="inlineStr">
        <is>
          <t xml:space="preserve">1</t>
        </is>
      </c>
      <c r="H163" s="4" t="inlineStr">
        <is>
          <t xml:space="preserve">Alta</t>
        </is>
      </c>
      <c r="I163" s="5" t="inlineStr">
        <is>
          <t xml:space="preserve">Retail</t>
        </is>
      </c>
      <c r="J163" s="5" t="inlineStr">
        <is>
          <t xml:space="preserve">—</t>
        </is>
      </c>
      <c r="K163" s="5" t="inlineStr">
        <is>
          <t xml:space="preserve">—</t>
        </is>
      </c>
      <c r="L163" s="5" t="inlineStr">
        <is>
          <t xml:space="preserve">RN-P02</t>
        </is>
      </c>
      <c r="M163" s="5" t="inlineStr">
        <is>
          <t xml:space="preserve">Mantenido: las unidades en probador son una causa de la imprecisión del registro (causa C1 del capítulo 2).</t>
        </is>
      </c>
      <c r="N163" s="5" t="inlineStr">
        <is>
          <t xml:space="preserve">RF-047.3</t>
        </is>
      </c>
      <c r="O163" s="5" t="inlineStr">
        <is>
          <t xml:space="preserve">RF-047.3a</t>
        </is>
      </c>
    </row>
    <row r="164">
      <c r="A164" s="5" t="inlineStr">
        <is>
          <t xml:space="preserve">RF-156</t>
        </is>
      </c>
      <c r="B164" s="4" t="inlineStr">
        <is>
          <t xml:space="preserve">RF</t>
        </is>
      </c>
      <c r="C164" s="5" t="inlineStr">
        <is>
          <t xml:space="preserve">El sistema debe permitir al vendedor de piso registrar la venta de la unidad registrada en probador.</t>
        </is>
      </c>
      <c r="D164" s="5" t="inlineStr">
        <is>
          <t xml:space="preserve">R:M-03</t>
        </is>
      </c>
      <c r="E164" s="5" t="inlineStr">
        <is>
          <t xml:space="preserve">Servicio de existencias</t>
        </is>
      </c>
      <c r="F164" s="5" t="inlineStr">
        <is>
          <t xml:space="preserve">Retail</t>
        </is>
      </c>
      <c r="G164" s="4" t="inlineStr">
        <is>
          <t xml:space="preserve">1</t>
        </is>
      </c>
      <c r="H164" s="4" t="inlineStr">
        <is>
          <t xml:space="preserve">Alta</t>
        </is>
      </c>
      <c r="I164" s="5" t="inlineStr">
        <is>
          <t xml:space="preserve">Retail</t>
        </is>
      </c>
      <c r="J164" s="5" t="inlineStr">
        <is>
          <t xml:space="preserve">—</t>
        </is>
      </c>
      <c r="K164" s="5" t="inlineStr">
        <is>
          <t xml:space="preserve">—</t>
        </is>
      </c>
      <c r="L164" s="5" t="inlineStr">
        <is>
          <t xml:space="preserve">RN-P02</t>
        </is>
      </c>
      <c r="M164" s="5" t="inlineStr">
        <is>
          <t xml:space="preserve">Mantenido: las unidades en probador son una causa de la imprecisión del registro (causa C1 del capítulo 2).</t>
        </is>
      </c>
      <c r="N164" s="5" t="inlineStr">
        <is>
          <t xml:space="preserve">RF-047.3</t>
        </is>
      </c>
      <c r="O164" s="5" t="inlineStr">
        <is>
          <t xml:space="preserve">RF-047.3b</t>
        </is>
      </c>
    </row>
    <row r="165">
      <c r="A165" s="5" t="inlineStr">
        <is>
          <t xml:space="preserve">RF-157</t>
        </is>
      </c>
      <c r="B165" s="4" t="inlineStr">
        <is>
          <t xml:space="preserve">RF</t>
        </is>
      </c>
      <c r="C165" s="5" t="inlineStr">
        <is>
          <t xml:space="preserve">El sistema deberá impedir que cualquier canal de venta consuma el saldo bruto de inventario para publicar o comprometer existencia.</t>
        </is>
      </c>
      <c r="D165" s="5" t="inlineStr">
        <is>
          <t xml:space="preserve">R:M-03</t>
        </is>
      </c>
      <c r="E165" s="5" t="inlineStr">
        <is>
          <t xml:space="preserve">Servicio de existencias</t>
        </is>
      </c>
      <c r="F165" s="5" t="inlineStr">
        <is>
          <t xml:space="preserve">Retail</t>
        </is>
      </c>
      <c r="G165" s="4" t="inlineStr">
        <is>
          <t xml:space="preserve">1</t>
        </is>
      </c>
      <c r="H165" s="4" t="inlineStr">
        <is>
          <t xml:space="preserve">Alta</t>
        </is>
      </c>
      <c r="I165" s="5" t="inlineStr">
        <is>
          <t xml:space="preserve">Retail</t>
        </is>
      </c>
      <c r="J165" s="5" t="inlineStr">
        <is>
          <t xml:space="preserve">—</t>
        </is>
      </c>
      <c r="K165" s="5" t="inlineStr">
        <is>
          <t xml:space="preserve">—</t>
        </is>
      </c>
      <c r="L165" s="5" t="inlineStr">
        <is>
          <t xml:space="preserve">RN-08</t>
        </is>
      </c>
      <c r="M165" s="5" t="inlineStr">
        <is>
          <t xml:space="preserve"/>
        </is>
      </c>
      <c r="N165" s="5" t="inlineStr">
        <is>
          <t xml:space="preserve">—</t>
        </is>
      </c>
      <c r="O165" s="5" t="inlineStr">
        <is>
          <t xml:space="preserve">RF-054</t>
        </is>
      </c>
    </row>
    <row r="166">
      <c r="A166" s="5" t="inlineStr">
        <is>
          <t xml:space="preserve">RF-158</t>
        </is>
      </c>
      <c r="B166" s="4" t="inlineStr">
        <is>
          <t xml:space="preserve">RF</t>
        </is>
      </c>
      <c r="C166" s="5" t="inlineStr">
        <is>
          <t xml:space="preserve">El sistema debe calcular el porcentaje de error probable de la referencia en función de su categoría.</t>
        </is>
      </c>
      <c r="D166" s="5" t="inlineStr">
        <is>
          <t xml:space="preserve">R:M-03</t>
        </is>
      </c>
      <c r="E166" s="5" t="inlineStr">
        <is>
          <t xml:space="preserve">Servicio de existencias</t>
        </is>
      </c>
      <c r="F166" s="5" t="inlineStr">
        <is>
          <t xml:space="preserve">Retail</t>
        </is>
      </c>
      <c r="G166" s="4" t="inlineStr">
        <is>
          <t xml:space="preserve">1</t>
        </is>
      </c>
      <c r="H166" s="4" t="inlineStr">
        <is>
          <t xml:space="preserve">Alta</t>
        </is>
      </c>
      <c r="I166" s="5" t="inlineStr">
        <is>
          <t xml:space="preserve">Retail</t>
        </is>
      </c>
      <c r="J166" s="5" t="inlineStr">
        <is>
          <t xml:space="preserve">—</t>
        </is>
      </c>
      <c r="K166" s="5" t="inlineStr">
        <is>
          <t xml:space="preserve">—</t>
        </is>
      </c>
      <c r="L166" s="5" t="inlineStr">
        <is>
          <t xml:space="preserve">RN-11</t>
        </is>
      </c>
      <c r="M166" s="5" t="inlineStr">
        <is>
          <t xml:space="preserve"/>
        </is>
      </c>
      <c r="N166" s="5" t="inlineStr">
        <is>
          <t xml:space="preserve">RF-058</t>
        </is>
      </c>
      <c r="O166" s="5" t="inlineStr">
        <is>
          <t xml:space="preserve">RF-058a</t>
        </is>
      </c>
    </row>
    <row r="167">
      <c r="A167" s="5" t="inlineStr">
        <is>
          <t xml:space="preserve">RF-159</t>
        </is>
      </c>
      <c r="B167" s="4" t="inlineStr">
        <is>
          <t xml:space="preserve">RF</t>
        </is>
      </c>
      <c r="C167" s="5" t="inlineStr">
        <is>
          <t xml:space="preserve">El sistema debe calcular el porcentaje de error probable de la referencia en función de su punto de existencia.</t>
        </is>
      </c>
      <c r="D167" s="5" t="inlineStr">
        <is>
          <t xml:space="preserve">R:M-03</t>
        </is>
      </c>
      <c r="E167" s="5" t="inlineStr">
        <is>
          <t xml:space="preserve">Servicio de existencias</t>
        </is>
      </c>
      <c r="F167" s="5" t="inlineStr">
        <is>
          <t xml:space="preserve">Retail</t>
        </is>
      </c>
      <c r="G167" s="4" t="inlineStr">
        <is>
          <t xml:space="preserve">1</t>
        </is>
      </c>
      <c r="H167" s="4" t="inlineStr">
        <is>
          <t xml:space="preserve">Alta</t>
        </is>
      </c>
      <c r="I167" s="5" t="inlineStr">
        <is>
          <t xml:space="preserve">Retail</t>
        </is>
      </c>
      <c r="J167" s="5" t="inlineStr">
        <is>
          <t xml:space="preserve">—</t>
        </is>
      </c>
      <c r="K167" s="5" t="inlineStr">
        <is>
          <t xml:space="preserve">—</t>
        </is>
      </c>
      <c r="L167" s="5" t="inlineStr">
        <is>
          <t xml:space="preserve">RN-11</t>
        </is>
      </c>
      <c r="M167" s="5" t="inlineStr">
        <is>
          <t xml:space="preserve"/>
        </is>
      </c>
      <c r="N167" s="5" t="inlineStr">
        <is>
          <t xml:space="preserve">RF-058</t>
        </is>
      </c>
      <c r="O167" s="5" t="inlineStr">
        <is>
          <t xml:space="preserve">RF-058b</t>
        </is>
      </c>
    </row>
    <row r="168">
      <c r="A168" s="5" t="inlineStr">
        <is>
          <t xml:space="preserve">RF-160</t>
        </is>
      </c>
      <c r="B168" s="4" t="inlineStr">
        <is>
          <t xml:space="preserve">RF</t>
        </is>
      </c>
      <c r="C168" s="5" t="inlineStr">
        <is>
          <t xml:space="preserve">El sistema deberá mostrar al cliente el porcentaje de error probable calculado en RF-058 junto a la disponibilidad publicada.</t>
        </is>
      </c>
      <c r="D168" s="5" t="inlineStr">
        <is>
          <t xml:space="preserve">R:M-03</t>
        </is>
      </c>
      <c r="E168" s="5" t="inlineStr">
        <is>
          <t xml:space="preserve">Servicio de existencias</t>
        </is>
      </c>
      <c r="F168" s="5" t="inlineStr">
        <is>
          <t xml:space="preserve">Retail</t>
        </is>
      </c>
      <c r="G168" s="4" t="inlineStr">
        <is>
          <t xml:space="preserve">1</t>
        </is>
      </c>
      <c r="H168" s="4" t="inlineStr">
        <is>
          <t xml:space="preserve">Alta</t>
        </is>
      </c>
      <c r="I168" s="5" t="inlineStr">
        <is>
          <t xml:space="preserve">Retail</t>
        </is>
      </c>
      <c r="J168" s="5" t="inlineStr">
        <is>
          <t xml:space="preserve">—</t>
        </is>
      </c>
      <c r="K168" s="5" t="inlineStr">
        <is>
          <t xml:space="preserve">—</t>
        </is>
      </c>
      <c r="L168" s="5" t="inlineStr">
        <is>
          <t xml:space="preserve">RN-11</t>
        </is>
      </c>
      <c r="M168" s="5" t="inlineStr">
        <is>
          <t xml:space="preserve"/>
        </is>
      </c>
      <c r="N168" s="5" t="inlineStr">
        <is>
          <t xml:space="preserve">—</t>
        </is>
      </c>
      <c r="O168" s="5" t="inlineStr">
        <is>
          <t xml:space="preserve">RF-059</t>
        </is>
      </c>
    </row>
    <row r="169">
      <c r="A169" s="5" t="inlineStr">
        <is>
          <t xml:space="preserve">RF-161</t>
        </is>
      </c>
      <c r="B169" s="4" t="inlineStr">
        <is>
          <t xml:space="preserve">RF</t>
        </is>
      </c>
      <c r="C169" s="5" t="inlineStr">
        <is>
          <t xml:space="preserve">El sistema deberá mostrar al vendedor de piso el porcentaje de error probable calculado en RF-058.</t>
        </is>
      </c>
      <c r="D169" s="5" t="inlineStr">
        <is>
          <t xml:space="preserve">R:M-03</t>
        </is>
      </c>
      <c r="E169" s="5" t="inlineStr">
        <is>
          <t xml:space="preserve">Servicio de existencias</t>
        </is>
      </c>
      <c r="F169" s="5" t="inlineStr">
        <is>
          <t xml:space="preserve">Retail</t>
        </is>
      </c>
      <c r="G169" s="4" t="inlineStr">
        <is>
          <t xml:space="preserve">1</t>
        </is>
      </c>
      <c r="H169" s="4" t="inlineStr">
        <is>
          <t xml:space="preserve">Alta</t>
        </is>
      </c>
      <c r="I169" s="5" t="inlineStr">
        <is>
          <t xml:space="preserve">Retail</t>
        </is>
      </c>
      <c r="J169" s="5" t="inlineStr">
        <is>
          <t xml:space="preserve">—</t>
        </is>
      </c>
      <c r="K169" s="5" t="inlineStr">
        <is>
          <t xml:space="preserve">—</t>
        </is>
      </c>
      <c r="L169" s="5" t="inlineStr">
        <is>
          <t xml:space="preserve">RN-11, RN-P05</t>
        </is>
      </c>
      <c r="M169" s="5" t="inlineStr">
        <is>
          <t xml:space="preserve"/>
        </is>
      </c>
      <c r="N169" s="5" t="inlineStr">
        <is>
          <t xml:space="preserve">—</t>
        </is>
      </c>
      <c r="O169" s="5" t="inlineStr">
        <is>
          <t xml:space="preserve">RF-060</t>
        </is>
      </c>
    </row>
    <row r="170">
      <c r="A170" s="5" t="inlineStr">
        <is>
          <t xml:space="preserve">RF-162</t>
        </is>
      </c>
      <c r="B170" s="4" t="inlineStr">
        <is>
          <t xml:space="preserve">RF</t>
        </is>
      </c>
      <c r="C170" s="5" t="inlineStr">
        <is>
          <t xml:space="preserve">El sistema deberá generar una alerta interna dirigida al rol facultado cuando la exactitud de una categoría caiga bajo el umbral definido.</t>
        </is>
      </c>
      <c r="D170" s="5" t="inlineStr">
        <is>
          <t xml:space="preserve">R:M-03</t>
        </is>
      </c>
      <c r="E170" s="5" t="inlineStr">
        <is>
          <t xml:space="preserve">Servicio de existencias</t>
        </is>
      </c>
      <c r="F170" s="5" t="inlineStr">
        <is>
          <t xml:space="preserve">Retail</t>
        </is>
      </c>
      <c r="G170" s="4" t="inlineStr">
        <is>
          <t xml:space="preserve">1</t>
        </is>
      </c>
      <c r="H170" s="4" t="inlineStr">
        <is>
          <t xml:space="preserve">Alta</t>
        </is>
      </c>
      <c r="I170" s="5" t="inlineStr">
        <is>
          <t xml:space="preserve">Retail</t>
        </is>
      </c>
      <c r="J170" s="5" t="inlineStr">
        <is>
          <t xml:space="preserve">—</t>
        </is>
      </c>
      <c r="K170" s="5" t="inlineStr">
        <is>
          <t xml:space="preserve">—</t>
        </is>
      </c>
      <c r="L170" s="5" t="inlineStr">
        <is>
          <t xml:space="preserve">RN-11</t>
        </is>
      </c>
      <c r="M170" s="5" t="inlineStr">
        <is>
          <t xml:space="preserve"/>
        </is>
      </c>
      <c r="N170" s="5" t="inlineStr">
        <is>
          <t xml:space="preserve">—</t>
        </is>
      </c>
      <c r="O170" s="5" t="inlineStr">
        <is>
          <t xml:space="preserve">RF-061</t>
        </is>
      </c>
    </row>
    <row r="171">
      <c r="A171" s="5" t="inlineStr">
        <is>
          <t xml:space="preserve">RF-163</t>
        </is>
      </c>
      <c r="B171" s="4" t="inlineStr">
        <is>
          <t xml:space="preserve">RF</t>
        </is>
      </c>
      <c r="C171" s="5" t="inlineStr">
        <is>
          <t xml:space="preserve">El sistema deberá permitir exclusivamente al rol facultado suspender manualmente la publicación de una categoría.</t>
        </is>
      </c>
      <c r="D171" s="5" t="inlineStr">
        <is>
          <t xml:space="preserve">R:M-03</t>
        </is>
      </c>
      <c r="E171" s="5" t="inlineStr">
        <is>
          <t xml:space="preserve">Servicio de existencias</t>
        </is>
      </c>
      <c r="F171" s="5" t="inlineStr">
        <is>
          <t xml:space="preserve">Retail</t>
        </is>
      </c>
      <c r="G171" s="4" t="inlineStr">
        <is>
          <t xml:space="preserve">1</t>
        </is>
      </c>
      <c r="H171" s="4" t="inlineStr">
        <is>
          <t xml:space="preserve">Alta</t>
        </is>
      </c>
      <c r="I171" s="5" t="inlineStr">
        <is>
          <t xml:space="preserve">Retail</t>
        </is>
      </c>
      <c r="J171" s="5" t="inlineStr">
        <is>
          <t xml:space="preserve">—</t>
        </is>
      </c>
      <c r="K171" s="5" t="inlineStr">
        <is>
          <t xml:space="preserve">—</t>
        </is>
      </c>
      <c r="L171" s="5" t="inlineStr">
        <is>
          <t xml:space="preserve">RN-11, RN-57</t>
        </is>
      </c>
      <c r="M171" s="5" t="inlineStr">
        <is>
          <t xml:space="preserve"/>
        </is>
      </c>
      <c r="N171" s="5" t="inlineStr">
        <is>
          <t xml:space="preserve">—</t>
        </is>
      </c>
      <c r="O171" s="5" t="inlineStr">
        <is>
          <t xml:space="preserve">RF-062</t>
        </is>
      </c>
    </row>
    <row r="172">
      <c r="A172" s="5" t="inlineStr">
        <is>
          <t xml:space="preserve">RF-164</t>
        </is>
      </c>
      <c r="B172" s="4" t="inlineStr">
        <is>
          <t xml:space="preserve">RF</t>
        </is>
      </c>
      <c r="C172" s="5" t="inlineStr">
        <is>
          <t xml:space="preserve">El sistema deberá abstenerse de suspender automáticamente la publicación de una categoría que no tenga una regla de degradación declarada y aprobada previamente.</t>
        </is>
      </c>
      <c r="D172" s="5" t="inlineStr">
        <is>
          <t xml:space="preserve">R:M-03</t>
        </is>
      </c>
      <c r="E172" s="5" t="inlineStr">
        <is>
          <t xml:space="preserve">Servicio de existencias</t>
        </is>
      </c>
      <c r="F172" s="5" t="inlineStr">
        <is>
          <t xml:space="preserve">Retail</t>
        </is>
      </c>
      <c r="G172" s="4" t="inlineStr">
        <is>
          <t xml:space="preserve">1</t>
        </is>
      </c>
      <c r="H172" s="4" t="inlineStr">
        <is>
          <t xml:space="preserve">Alta</t>
        </is>
      </c>
      <c r="I172" s="5" t="inlineStr">
        <is>
          <t xml:space="preserve">Retail</t>
        </is>
      </c>
      <c r="J172" s="5" t="inlineStr">
        <is>
          <t xml:space="preserve">—</t>
        </is>
      </c>
      <c r="K172" s="5" t="inlineStr">
        <is>
          <t xml:space="preserve">—</t>
        </is>
      </c>
      <c r="L172" s="5" t="inlineStr">
        <is>
          <t xml:space="preserve">RN-11, RN-57</t>
        </is>
      </c>
      <c r="M172" s="5" t="inlineStr">
        <is>
          <t xml:space="preserve"/>
        </is>
      </c>
      <c r="N172" s="5" t="inlineStr">
        <is>
          <t xml:space="preserve">—</t>
        </is>
      </c>
      <c r="O172" s="5" t="inlineStr">
        <is>
          <t xml:space="preserve">RF-063</t>
        </is>
      </c>
    </row>
    <row r="173">
      <c r="A173" s="5" t="inlineStr">
        <is>
          <t xml:space="preserve">RF-165</t>
        </is>
      </c>
      <c r="B173" s="4" t="inlineStr">
        <is>
          <t xml:space="preserve">RF</t>
        </is>
      </c>
      <c r="C173" s="5" t="inlineStr">
        <is>
          <t xml:space="preserve">El sistema deberá registrar cada cruce de información ejecutado entre ámbitos, indicando el dato cruzado, la finalidad, la base de licitud, la autorización nominada y el instante.</t>
        </is>
      </c>
      <c r="D173" s="5" t="inlineStr">
        <is>
          <t xml:space="preserve">X-01</t>
        </is>
      </c>
      <c r="E173" s="5" t="inlineStr">
        <is>
          <t xml:space="preserve">Servicio de control de cruces</t>
        </is>
      </c>
      <c r="F173" s="5" t="inlineStr">
        <is>
          <t xml:space="preserve">Frontera</t>
        </is>
      </c>
      <c r="G173" s="4" t="inlineStr">
        <is>
          <t xml:space="preserve">1</t>
        </is>
      </c>
      <c r="H173" s="4" t="inlineStr">
        <is>
          <t xml:space="preserve">Alta</t>
        </is>
      </c>
      <c r="I173" s="5" t="inlineStr">
        <is>
          <t xml:space="preserve">Frontera</t>
        </is>
      </c>
      <c r="J173" s="5" t="inlineStr">
        <is>
          <t xml:space="preserve">—</t>
        </is>
      </c>
      <c r="K173" s="5" t="inlineStr">
        <is>
          <t xml:space="preserve">—</t>
        </is>
      </c>
      <c r="L173" s="5" t="inlineStr">
        <is>
          <t xml:space="preserve">RN-02</t>
        </is>
      </c>
      <c r="M173" s="5" t="inlineStr">
        <is>
          <t xml:space="preserve"/>
        </is>
      </c>
      <c r="N173" s="5" t="inlineStr">
        <is>
          <t xml:space="preserve">—</t>
        </is>
      </c>
      <c r="O173" s="5" t="inlineStr">
        <is>
          <t xml:space="preserve">RF-025.1</t>
        </is>
      </c>
    </row>
    <row r="174">
      <c r="A174" s="5" t="inlineStr">
        <is>
          <t xml:space="preserve">RF-166</t>
        </is>
      </c>
      <c r="B174" s="4" t="inlineStr">
        <is>
          <t xml:space="preserve">RF</t>
        </is>
      </c>
      <c r="C174" s="5" t="inlineStr">
        <is>
          <t xml:space="preserve">El sistema deberá bloquear todo intento de cruce de información que no corresponda a una interfaz declarada en el inventario de flujos autorizados.</t>
        </is>
      </c>
      <c r="D174" s="5" t="inlineStr">
        <is>
          <t xml:space="preserve">X-01</t>
        </is>
      </c>
      <c r="E174" s="5" t="inlineStr">
        <is>
          <t xml:space="preserve">Servicio de control de cruces</t>
        </is>
      </c>
      <c r="F174" s="5" t="inlineStr">
        <is>
          <t xml:space="preserve">Frontera</t>
        </is>
      </c>
      <c r="G174" s="4" t="inlineStr">
        <is>
          <t xml:space="preserve">1</t>
        </is>
      </c>
      <c r="H174" s="4" t="inlineStr">
        <is>
          <t xml:space="preserve">Alta</t>
        </is>
      </c>
      <c r="I174" s="5" t="inlineStr">
        <is>
          <t xml:space="preserve">Frontera</t>
        </is>
      </c>
      <c r="J174" s="5" t="inlineStr">
        <is>
          <t xml:space="preserve">—</t>
        </is>
      </c>
      <c r="K174" s="5" t="inlineStr">
        <is>
          <t xml:space="preserve">—</t>
        </is>
      </c>
      <c r="L174" s="5" t="inlineStr">
        <is>
          <t xml:space="preserve">RN-02, RN-05</t>
        </is>
      </c>
      <c r="M174" s="5" t="inlineStr">
        <is>
          <t xml:space="preserve"/>
        </is>
      </c>
      <c r="N174" s="5" t="inlineStr">
        <is>
          <t xml:space="preserve">—</t>
        </is>
      </c>
      <c r="O174" s="5" t="inlineStr">
        <is>
          <t xml:space="preserve">RF-025.2</t>
        </is>
      </c>
    </row>
    <row r="175">
      <c r="A175" s="5" t="inlineStr">
        <is>
          <t xml:space="preserve">RF-167</t>
        </is>
      </c>
      <c r="B175" s="4" t="inlineStr">
        <is>
          <t xml:space="preserve">RF</t>
        </is>
      </c>
      <c r="C175" s="5" t="inlineStr">
        <is>
          <t xml:space="preserve">El sistema deberá registrar el intento de cruce bloqueado con el componente origen, el dato solicitado y el instante.</t>
        </is>
      </c>
      <c r="D175" s="5" t="inlineStr">
        <is>
          <t xml:space="preserve">X-01</t>
        </is>
      </c>
      <c r="E175" s="5" t="inlineStr">
        <is>
          <t xml:space="preserve">Servicio de control de cruces</t>
        </is>
      </c>
      <c r="F175" s="5" t="inlineStr">
        <is>
          <t xml:space="preserve">Frontera</t>
        </is>
      </c>
      <c r="G175" s="4" t="inlineStr">
        <is>
          <t xml:space="preserve">1</t>
        </is>
      </c>
      <c r="H175" s="4" t="inlineStr">
        <is>
          <t xml:space="preserve">Alta</t>
        </is>
      </c>
      <c r="I175" s="5" t="inlineStr">
        <is>
          <t xml:space="preserve">Frontera</t>
        </is>
      </c>
      <c r="J175" s="5" t="inlineStr">
        <is>
          <t xml:space="preserve">—</t>
        </is>
      </c>
      <c r="K175" s="5" t="inlineStr">
        <is>
          <t xml:space="preserve">—</t>
        </is>
      </c>
      <c r="L175" s="5" t="inlineStr">
        <is>
          <t xml:space="preserve">RN-02</t>
        </is>
      </c>
      <c r="M175" s="5" t="inlineStr">
        <is>
          <t xml:space="preserve"/>
        </is>
      </c>
      <c r="N175" s="5" t="inlineStr">
        <is>
          <t xml:space="preserve">—</t>
        </is>
      </c>
      <c r="O175" s="5" t="inlineStr">
        <is>
          <t xml:space="preserve">RF-025.3</t>
        </is>
      </c>
    </row>
    <row r="176">
      <c r="A176" s="5" t="inlineStr">
        <is>
          <t xml:space="preserve">RF-168</t>
        </is>
      </c>
      <c r="B176" s="4" t="inlineStr">
        <is>
          <t xml:space="preserve">RF</t>
        </is>
      </c>
      <c r="C176" s="5" t="inlineStr">
        <is>
          <t xml:space="preserve">El sistema debe permitir al oficial de cumplimiento mantener el inventario de interfaces de cruce declaradas.</t>
        </is>
      </c>
      <c r="D176" s="5" t="inlineStr">
        <is>
          <t xml:space="preserve">X-01</t>
        </is>
      </c>
      <c r="E176" s="5" t="inlineStr">
        <is>
          <t xml:space="preserve">Servicio de control de cruces</t>
        </is>
      </c>
      <c r="F176" s="5" t="inlineStr">
        <is>
          <t xml:space="preserve">Frontera</t>
        </is>
      </c>
      <c r="G176" s="4" t="inlineStr">
        <is>
          <t xml:space="preserve">1</t>
        </is>
      </c>
      <c r="H176" s="4" t="inlineStr">
        <is>
          <t xml:space="preserve">Alta</t>
        </is>
      </c>
      <c r="I176" s="5" t="inlineStr">
        <is>
          <t xml:space="preserve">Frontera</t>
        </is>
      </c>
      <c r="J176" s="5" t="inlineStr">
        <is>
          <t xml:space="preserve">—</t>
        </is>
      </c>
      <c r="K176" s="5" t="inlineStr">
        <is>
          <t xml:space="preserve">—</t>
        </is>
      </c>
      <c r="L176" s="5" t="inlineStr">
        <is>
          <t xml:space="preserve">RN-02</t>
        </is>
      </c>
      <c r="M176" s="5" t="inlineStr">
        <is>
          <t xml:space="preserve"/>
        </is>
      </c>
      <c r="N176" s="5" t="inlineStr">
        <is>
          <t xml:space="preserve">RF-025.4</t>
        </is>
      </c>
      <c r="O176" s="5" t="inlineStr">
        <is>
          <t xml:space="preserve">RF-025.4a</t>
        </is>
      </c>
    </row>
    <row r="177">
      <c r="A177" s="5" t="inlineStr">
        <is>
          <t xml:space="preserve">RF-169</t>
        </is>
      </c>
      <c r="B177" s="4" t="inlineStr">
        <is>
          <t xml:space="preserve">RF</t>
        </is>
      </c>
      <c r="C177" s="5" t="inlineStr">
        <is>
          <t xml:space="preserve">El sistema debe impedir el registro de una interfaz de cruce que no declare finalidad, base de licitud y autorización nominada.</t>
        </is>
      </c>
      <c r="D177" s="5" t="inlineStr">
        <is>
          <t xml:space="preserve">X-01</t>
        </is>
      </c>
      <c r="E177" s="5" t="inlineStr">
        <is>
          <t xml:space="preserve">Servicio de control de cruces</t>
        </is>
      </c>
      <c r="F177" s="5" t="inlineStr">
        <is>
          <t xml:space="preserve">Frontera</t>
        </is>
      </c>
      <c r="G177" s="4" t="inlineStr">
        <is>
          <t xml:space="preserve">1</t>
        </is>
      </c>
      <c r="H177" s="4" t="inlineStr">
        <is>
          <t xml:space="preserve">Alta</t>
        </is>
      </c>
      <c r="I177" s="5" t="inlineStr">
        <is>
          <t xml:space="preserve">Frontera</t>
        </is>
      </c>
      <c r="J177" s="5" t="inlineStr">
        <is>
          <t xml:space="preserve">—</t>
        </is>
      </c>
      <c r="K177" s="5" t="inlineStr">
        <is>
          <t xml:space="preserve">—</t>
        </is>
      </c>
      <c r="L177" s="5" t="inlineStr">
        <is>
          <t xml:space="preserve">RN-02</t>
        </is>
      </c>
      <c r="M177" s="5" t="inlineStr">
        <is>
          <t xml:space="preserve"/>
        </is>
      </c>
      <c r="N177" s="5" t="inlineStr">
        <is>
          <t xml:space="preserve">RF-025.4</t>
        </is>
      </c>
      <c r="O177" s="5" t="inlineStr">
        <is>
          <t xml:space="preserve">RF-025.4b</t>
        </is>
      </c>
    </row>
    <row r="178">
      <c r="A178" s="5" t="inlineStr">
        <is>
          <t xml:space="preserve">RF-170</t>
        </is>
      </c>
      <c r="B178" s="4" t="inlineStr">
        <is>
          <t xml:space="preserve">RF</t>
        </is>
      </c>
      <c r="C178" s="5" t="inlineStr">
        <is>
          <t xml:space="preserve">El sistema deberá excluir del catálogo de atributos disponibles en el motor de campañas todo atributo de origen financiero (mora, deuda, cupo utilizado, comportamiento de pago).</t>
        </is>
      </c>
      <c r="D178" s="5" t="inlineStr">
        <is>
          <t xml:space="preserve">X-01</t>
        </is>
      </c>
      <c r="E178" s="5" t="inlineStr">
        <is>
          <t xml:space="preserve">Servicio de control de cruces</t>
        </is>
      </c>
      <c r="F178" s="5" t="inlineStr">
        <is>
          <t xml:space="preserve">Frontera</t>
        </is>
      </c>
      <c r="G178" s="4" t="inlineStr">
        <is>
          <t xml:space="preserve">1</t>
        </is>
      </c>
      <c r="H178" s="4" t="inlineStr">
        <is>
          <t xml:space="preserve">Alta</t>
        </is>
      </c>
      <c r="I178" s="5" t="inlineStr">
        <is>
          <t xml:space="preserve">Frontera</t>
        </is>
      </c>
      <c r="J178" s="5" t="inlineStr">
        <is>
          <t xml:space="preserve">—</t>
        </is>
      </c>
      <c r="K178" s="5" t="inlineStr">
        <is>
          <t xml:space="preserve">—</t>
        </is>
      </c>
      <c r="L178" s="5" t="inlineStr">
        <is>
          <t xml:space="preserve">RN-03</t>
        </is>
      </c>
      <c r="M178" s="5" t="inlineStr">
        <is>
          <t xml:space="preserve">Mantenido en el servicio de control de cruces porque es un control de frontera, igual que RF-171. El servicio de clientes Retail respeta el catálogo de atributos que ese control define.</t>
        </is>
      </c>
      <c r="N178" s="5" t="inlineStr">
        <is>
          <t xml:space="preserve">—</t>
        </is>
      </c>
      <c r="O178" s="5" t="inlineStr">
        <is>
          <t xml:space="preserve">RF-032.1</t>
        </is>
      </c>
    </row>
    <row r="179">
      <c r="A179" s="5" t="inlineStr">
        <is>
          <t xml:space="preserve">RF-171</t>
        </is>
      </c>
      <c r="B179" s="4" t="inlineStr">
        <is>
          <t xml:space="preserve">RF</t>
        </is>
      </c>
      <c r="C179" s="5" t="inlineStr">
        <is>
          <t xml:space="preserve">El sistema deberá rechazar la ejecución de toda facilidad comercial que invoque un atributo de origen financiero sin un registro de cruce autorizado asociado.</t>
        </is>
      </c>
      <c r="D179" s="5" t="inlineStr">
        <is>
          <t xml:space="preserve">X-01</t>
        </is>
      </c>
      <c r="E179" s="5" t="inlineStr">
        <is>
          <t xml:space="preserve">Servicio de control de cruces</t>
        </is>
      </c>
      <c r="F179" s="5" t="inlineStr">
        <is>
          <t xml:space="preserve">Frontera</t>
        </is>
      </c>
      <c r="G179" s="4" t="inlineStr">
        <is>
          <t xml:space="preserve">1</t>
        </is>
      </c>
      <c r="H179" s="4" t="inlineStr">
        <is>
          <t xml:space="preserve">Alta</t>
        </is>
      </c>
      <c r="I179" s="5" t="inlineStr">
        <is>
          <t xml:space="preserve">Frontera</t>
        </is>
      </c>
      <c r="J179" s="5" t="inlineStr">
        <is>
          <t xml:space="preserve">—</t>
        </is>
      </c>
      <c r="K179" s="5" t="inlineStr">
        <is>
          <t xml:space="preserve">—</t>
        </is>
      </c>
      <c r="L179" s="5" t="inlineStr">
        <is>
          <t xml:space="preserve">RN-05, RN-02</t>
        </is>
      </c>
      <c r="M179" s="5" t="inlineStr">
        <is>
          <t xml:space="preserve"/>
        </is>
      </c>
      <c r="N179" s="5" t="inlineStr">
        <is>
          <t xml:space="preserve">—</t>
        </is>
      </c>
      <c r="O179" s="5" t="inlineStr">
        <is>
          <t xml:space="preserve">RF-032.2</t>
        </is>
      </c>
    </row>
    <row r="180">
      <c r="A180" s="5" t="inlineStr">
        <is>
          <t xml:space="preserve">RF-172</t>
        </is>
      </c>
      <c r="B180" s="4" t="inlineStr">
        <is>
          <t xml:space="preserve">RF</t>
        </is>
      </c>
      <c r="C180" s="5" t="inlineStr">
        <is>
          <t xml:space="preserve">El sistema deberá rechazar la ejecución de todo proceso crediticio que invoque un atributo de origen retail sin un registro de cruce autorizado asociado.</t>
        </is>
      </c>
      <c r="D180" s="5" t="inlineStr">
        <is>
          <t xml:space="preserve">X-01</t>
        </is>
      </c>
      <c r="E180" s="5" t="inlineStr">
        <is>
          <t xml:space="preserve">Servicio de control de cruces</t>
        </is>
      </c>
      <c r="F180" s="5" t="inlineStr">
        <is>
          <t xml:space="preserve">Frontera</t>
        </is>
      </c>
      <c r="G180" s="4" t="inlineStr">
        <is>
          <t xml:space="preserve">1</t>
        </is>
      </c>
      <c r="H180" s="4" t="inlineStr">
        <is>
          <t xml:space="preserve">Alta</t>
        </is>
      </c>
      <c r="I180" s="5" t="inlineStr">
        <is>
          <t xml:space="preserve">Frontera</t>
        </is>
      </c>
      <c r="J180" s="5" t="inlineStr">
        <is>
          <t xml:space="preserve">—</t>
        </is>
      </c>
      <c r="K180" s="5" t="inlineStr">
        <is>
          <t xml:space="preserve">—</t>
        </is>
      </c>
      <c r="L180" s="5" t="inlineStr">
        <is>
          <t xml:space="preserve">RN-05, RN-02</t>
        </is>
      </c>
      <c r="M180" s="5" t="inlineStr">
        <is>
          <t xml:space="preserve"/>
        </is>
      </c>
      <c r="N180" s="5" t="inlineStr">
        <is>
          <t xml:space="preserve">—</t>
        </is>
      </c>
      <c r="O180" s="5" t="inlineStr">
        <is>
          <t xml:space="preserve">RF-032.3</t>
        </is>
      </c>
    </row>
    <row r="181">
      <c r="A181" s="5" t="inlineStr">
        <is>
          <t xml:space="preserve">RF-173</t>
        </is>
      </c>
      <c r="B181" s="4" t="inlineStr">
        <is>
          <t xml:space="preserve">RF</t>
        </is>
      </c>
      <c r="C181" s="5" t="inlineStr">
        <is>
          <t xml:space="preserve">El sistema deberá asignar a la misma persona un identificador distinto en el ámbito retail y en el ámbito fiscalizado.</t>
        </is>
      </c>
      <c r="D181" s="5" t="inlineStr">
        <is>
          <t xml:space="preserve">X-01</t>
        </is>
      </c>
      <c r="E181" s="5" t="inlineStr">
        <is>
          <t xml:space="preserve">Servicio de control de cruces</t>
        </is>
      </c>
      <c r="F181" s="5" t="inlineStr">
        <is>
          <t xml:space="preserve">Frontera</t>
        </is>
      </c>
      <c r="G181" s="4" t="inlineStr">
        <is>
          <t xml:space="preserve">1</t>
        </is>
      </c>
      <c r="H181" s="4" t="inlineStr">
        <is>
          <t xml:space="preserve">Alta</t>
        </is>
      </c>
      <c r="I181" s="5" t="inlineStr">
        <is>
          <t xml:space="preserve">Frontera</t>
        </is>
      </c>
      <c r="J181" s="5" t="inlineStr">
        <is>
          <t xml:space="preserve">—</t>
        </is>
      </c>
      <c r="K181" s="5" t="inlineStr">
        <is>
          <t xml:space="preserve">—</t>
        </is>
      </c>
      <c r="L181" s="5" t="inlineStr">
        <is>
          <t xml:space="preserve">RN-04</t>
        </is>
      </c>
      <c r="M181" s="5" t="inlineStr">
        <is>
          <t xml:space="preserve"/>
        </is>
      </c>
      <c r="N181" s="5" t="inlineStr">
        <is>
          <t xml:space="preserve">—</t>
        </is>
      </c>
      <c r="O181" s="5" t="inlineStr">
        <is>
          <t xml:space="preserve">RF-050</t>
        </is>
      </c>
    </row>
    <row r="182">
      <c r="A182" s="5" t="inlineStr">
        <is>
          <t xml:space="preserve">RF-174</t>
        </is>
      </c>
      <c r="B182" s="4" t="inlineStr">
        <is>
          <t xml:space="preserve">RF</t>
        </is>
      </c>
      <c r="C182" s="5" t="inlineStr">
        <is>
          <t xml:space="preserve">El sistema deberá resolver la correspondencia entre identificadores únicamente durante un cruce autorizado, sin conservarla en una tabla ni en ningún atributo de ambos ámbitos, y con acceso nominado y registrado.</t>
        </is>
      </c>
      <c r="D182" s="5" t="inlineStr">
        <is>
          <t xml:space="preserve">X-01</t>
        </is>
      </c>
      <c r="E182" s="5" t="inlineStr">
        <is>
          <t xml:space="preserve">Servicio de control de cruces</t>
        </is>
      </c>
      <c r="F182" s="5" t="inlineStr">
        <is>
          <t xml:space="preserve">Frontera</t>
        </is>
      </c>
      <c r="G182" s="4" t="inlineStr">
        <is>
          <t xml:space="preserve">1</t>
        </is>
      </c>
      <c r="H182" s="4" t="inlineStr">
        <is>
          <t xml:space="preserve">Alta</t>
        </is>
      </c>
      <c r="I182" s="5" t="inlineStr">
        <is>
          <t xml:space="preserve">Frontera</t>
        </is>
      </c>
      <c r="J182" s="5" t="inlineStr">
        <is>
          <t xml:space="preserve">—</t>
        </is>
      </c>
      <c r="K182" s="5" t="inlineStr">
        <is>
          <t xml:space="preserve">—</t>
        </is>
      </c>
      <c r="L182" s="5" t="inlineStr">
        <is>
          <t xml:space="preserve">RN-04, RN-02</t>
        </is>
      </c>
      <c r="M182" s="5" t="inlineStr">
        <is>
          <t xml:space="preserve"/>
        </is>
      </c>
      <c r="N182" s="5" t="inlineStr">
        <is>
          <t xml:space="preserve">—</t>
        </is>
      </c>
      <c r="O182" s="5" t="inlineStr">
        <is>
          <t xml:space="preserve">RF-051</t>
        </is>
      </c>
    </row>
    <row r="183">
      <c r="A183" s="5" t="inlineStr">
        <is>
          <t xml:space="preserve">RF-175</t>
        </is>
      </c>
      <c r="B183" s="4" t="inlineStr">
        <is>
          <t xml:space="preserve">RF</t>
        </is>
      </c>
      <c r="C183" s="5" t="inlineStr">
        <is>
          <t xml:space="preserve">El sistema deberá rechazar la persistencia de la clave del ámbito financiero como columna o atributo en cualquier entidad del ámbito retail.</t>
        </is>
      </c>
      <c r="D183" s="5" t="inlineStr">
        <is>
          <t xml:space="preserve">X-01</t>
        </is>
      </c>
      <c r="E183" s="5" t="inlineStr">
        <is>
          <t xml:space="preserve">Servicio de control de cruces</t>
        </is>
      </c>
      <c r="F183" s="5" t="inlineStr">
        <is>
          <t xml:space="preserve">Frontera</t>
        </is>
      </c>
      <c r="G183" s="4" t="inlineStr">
        <is>
          <t xml:space="preserve">1</t>
        </is>
      </c>
      <c r="H183" s="4" t="inlineStr">
        <is>
          <t xml:space="preserve">Alta</t>
        </is>
      </c>
      <c r="I183" s="5" t="inlineStr">
        <is>
          <t xml:space="preserve">Frontera</t>
        </is>
      </c>
      <c r="J183" s="5" t="inlineStr">
        <is>
          <t xml:space="preserve">—</t>
        </is>
      </c>
      <c r="K183" s="5" t="inlineStr">
        <is>
          <t xml:space="preserve">—</t>
        </is>
      </c>
      <c r="L183" s="5" t="inlineStr">
        <is>
          <t xml:space="preserve">RN-04, RN-01</t>
        </is>
      </c>
      <c r="M183" s="5" t="inlineStr">
        <is>
          <t xml:space="preserve"/>
        </is>
      </c>
      <c r="N183" s="5" t="inlineStr">
        <is>
          <t xml:space="preserve">—</t>
        </is>
      </c>
      <c r="O183" s="5" t="inlineStr">
        <is>
          <t xml:space="preserve">RF-052</t>
        </is>
      </c>
    </row>
    <row r="184">
      <c r="A184" s="5" t="inlineStr">
        <is>
          <t xml:space="preserve">RF-176</t>
        </is>
      </c>
      <c r="B184" s="4" t="inlineStr">
        <is>
          <t xml:space="preserve">RF</t>
        </is>
      </c>
      <c r="C184" s="5" t="inlineStr">
        <is>
          <t xml:space="preserve">El sistema deberá exigir el registro de la evaluación de impacto sobre la frontera de datos antes de habilitar el estado 'aprobada' de una iniciativa.</t>
        </is>
      </c>
      <c r="D184" s="5" t="inlineStr">
        <is>
          <t xml:space="preserve">X-01</t>
        </is>
      </c>
      <c r="E184" s="5" t="inlineStr">
        <is>
          <t xml:space="preserve">Servicio de control de cruces</t>
        </is>
      </c>
      <c r="F184" s="5" t="inlineStr">
        <is>
          <t xml:space="preserve">Frontera</t>
        </is>
      </c>
      <c r="G184" s="4" t="inlineStr">
        <is>
          <t xml:space="preserve">1</t>
        </is>
      </c>
      <c r="H184" s="4" t="inlineStr">
        <is>
          <t xml:space="preserve">Alta</t>
        </is>
      </c>
      <c r="I184" s="5" t="inlineStr">
        <is>
          <t xml:space="preserve">Frontera</t>
        </is>
      </c>
      <c r="J184" s="5" t="inlineStr">
        <is>
          <t xml:space="preserve">—</t>
        </is>
      </c>
      <c r="K184" s="5" t="inlineStr">
        <is>
          <t xml:space="preserve">—</t>
        </is>
      </c>
      <c r="L184" s="5" t="inlineStr">
        <is>
          <t xml:space="preserve">RN-06</t>
        </is>
      </c>
      <c r="M184" s="5" t="inlineStr">
        <is>
          <t xml:space="preserve"/>
        </is>
      </c>
      <c r="N184" s="5" t="inlineStr">
        <is>
          <t xml:space="preserve">—</t>
        </is>
      </c>
      <c r="O184" s="5" t="inlineStr">
        <is>
          <t xml:space="preserve">RF-053</t>
        </is>
      </c>
    </row>
    <row r="185">
      <c r="A185" s="5" t="inlineStr">
        <is>
          <t xml:space="preserve">RF-177</t>
        </is>
      </c>
      <c r="B185" s="4" t="inlineStr">
        <is>
          <t xml:space="preserve">RF</t>
        </is>
      </c>
      <c r="C185" s="5" t="inlineStr">
        <is>
          <t xml:space="preserve">El sistema debe permitir declarar previamente el orden de degradación de los servicios.</t>
        </is>
      </c>
      <c r="D185" s="5" t="inlineStr">
        <is>
          <t xml:space="preserve">—</t>
        </is>
      </c>
      <c r="E185" s="5" t="inlineStr">
        <is>
          <t xml:space="preserve">Base tecnológica</t>
        </is>
      </c>
      <c r="F185" s="5" t="inlineStr">
        <is>
          <t xml:space="preserve">Ambos</t>
        </is>
      </c>
      <c r="G185" s="4" t="inlineStr">
        <is>
          <t xml:space="preserve">1</t>
        </is>
      </c>
      <c r="H185" s="4" t="inlineStr">
        <is>
          <t xml:space="preserve">Alta</t>
        </is>
      </c>
      <c r="I185" s="5" t="inlineStr">
        <is>
          <t xml:space="preserve">Ambos</t>
        </is>
      </c>
      <c r="J185" s="5" t="inlineStr">
        <is>
          <t xml:space="preserve">—</t>
        </is>
      </c>
      <c r="K185" s="5" t="inlineStr">
        <is>
          <t xml:space="preserve">—</t>
        </is>
      </c>
      <c r="L185" s="5" t="inlineStr">
        <is>
          <t xml:space="preserve">RN-57, RN-11</t>
        </is>
      </c>
      <c r="M185" s="5" t="inlineStr">
        <is>
          <t xml:space="preserve">Mecanismo de degradación y de congelamiento de la base tecnológica.</t>
        </is>
      </c>
      <c r="N185" s="5" t="inlineStr">
        <is>
          <t xml:space="preserve">RF-026.1</t>
        </is>
      </c>
      <c r="O185" s="5" t="inlineStr">
        <is>
          <t xml:space="preserve">RF-026.1a</t>
        </is>
      </c>
    </row>
    <row r="186">
      <c r="A186" s="5" t="inlineStr">
        <is>
          <t xml:space="preserve">RF-178</t>
        </is>
      </c>
      <c r="B186" s="4" t="inlineStr">
        <is>
          <t xml:space="preserve">RF</t>
        </is>
      </c>
      <c r="C186" s="5" t="inlineStr">
        <is>
          <t xml:space="preserve">El sistema debe permitir parametrizar los criterios que activan cada nivel de degradación declarado.</t>
        </is>
      </c>
      <c r="D186" s="5" t="inlineStr">
        <is>
          <t xml:space="preserve">—</t>
        </is>
      </c>
      <c r="E186" s="5" t="inlineStr">
        <is>
          <t xml:space="preserve">Base tecnológica</t>
        </is>
      </c>
      <c r="F186" s="5" t="inlineStr">
        <is>
          <t xml:space="preserve">Ambos</t>
        </is>
      </c>
      <c r="G186" s="4" t="inlineStr">
        <is>
          <t xml:space="preserve">1</t>
        </is>
      </c>
      <c r="H186" s="4" t="inlineStr">
        <is>
          <t xml:space="preserve">Alta</t>
        </is>
      </c>
      <c r="I186" s="5" t="inlineStr">
        <is>
          <t xml:space="preserve">Ambos</t>
        </is>
      </c>
      <c r="J186" s="5" t="inlineStr">
        <is>
          <t xml:space="preserve">—</t>
        </is>
      </c>
      <c r="K186" s="5" t="inlineStr">
        <is>
          <t xml:space="preserve">—</t>
        </is>
      </c>
      <c r="L186" s="5" t="inlineStr">
        <is>
          <t xml:space="preserve">RN-57, RN-11</t>
        </is>
      </c>
      <c r="M186" s="5" t="inlineStr">
        <is>
          <t xml:space="preserve">Mecanismo de degradación y de congelamiento de la base tecnológica.</t>
        </is>
      </c>
      <c r="N186" s="5" t="inlineStr">
        <is>
          <t xml:space="preserve">RF-026.1</t>
        </is>
      </c>
      <c r="O186" s="5" t="inlineStr">
        <is>
          <t xml:space="preserve">RF-026.1b</t>
        </is>
      </c>
    </row>
    <row r="187">
      <c r="A187" s="5" t="inlineStr">
        <is>
          <t xml:space="preserve">RF-179</t>
        </is>
      </c>
      <c r="B187" s="4" t="inlineStr">
        <is>
          <t xml:space="preserve">RF</t>
        </is>
      </c>
      <c r="C187" s="5" t="inlineStr">
        <is>
          <t xml:space="preserve">El sistema deberá suspender la publicación de la categoría indicada por el orden de degradación declarado.</t>
        </is>
      </c>
      <c r="D187" s="5" t="inlineStr">
        <is>
          <t xml:space="preserve">R:M-03</t>
        </is>
      </c>
      <c r="E187" s="5" t="inlineStr">
        <is>
          <t xml:space="preserve">Servicio de existencias</t>
        </is>
      </c>
      <c r="F187" s="5" t="inlineStr">
        <is>
          <t xml:space="preserve">Retail</t>
        </is>
      </c>
      <c r="G187" s="4" t="inlineStr">
        <is>
          <t xml:space="preserve">1</t>
        </is>
      </c>
      <c r="H187" s="4" t="inlineStr">
        <is>
          <t xml:space="preserve">Alta</t>
        </is>
      </c>
      <c r="I187" s="5" t="inlineStr">
        <is>
          <t xml:space="preserve">Retail</t>
        </is>
      </c>
      <c r="J187" s="5" t="inlineStr">
        <is>
          <t xml:space="preserve">—</t>
        </is>
      </c>
      <c r="K187" s="5" t="inlineStr">
        <is>
          <t xml:space="preserve">—</t>
        </is>
      </c>
      <c r="L187" s="5" t="inlineStr">
        <is>
          <t xml:space="preserve">RN-57, RN-11</t>
        </is>
      </c>
      <c r="M187" s="5" t="inlineStr">
        <is>
          <t xml:space="preserve"/>
        </is>
      </c>
      <c r="N187" s="5" t="inlineStr">
        <is>
          <t xml:space="preserve">—</t>
        </is>
      </c>
      <c r="O187" s="5" t="inlineStr">
        <is>
          <t xml:space="preserve">RF-026.2</t>
        </is>
      </c>
    </row>
    <row r="188">
      <c r="A188" s="5" t="inlineStr">
        <is>
          <t xml:space="preserve">RF-180</t>
        </is>
      </c>
      <c r="B188" s="4" t="inlineStr">
        <is>
          <t xml:space="preserve">RF</t>
        </is>
      </c>
      <c r="C188" s="5" t="inlineStr">
        <is>
          <t xml:space="preserve">El sistema deberá reducir el límite de unidades por cliente al valor declarado.</t>
        </is>
      </c>
      <c r="D188" s="5" t="inlineStr">
        <is>
          <t xml:space="preserve">R:V-01</t>
        </is>
      </c>
      <c r="E188" s="5" t="inlineStr">
        <is>
          <t xml:space="preserve">Servicio de pedidos</t>
        </is>
      </c>
      <c r="F188" s="5" t="inlineStr">
        <is>
          <t xml:space="preserve">Retail</t>
        </is>
      </c>
      <c r="G188" s="4" t="inlineStr">
        <is>
          <t xml:space="preserve">2</t>
        </is>
      </c>
      <c r="H188" s="4" t="inlineStr">
        <is>
          <t xml:space="preserve">Media</t>
        </is>
      </c>
      <c r="I188" s="5" t="inlineStr">
        <is>
          <t xml:space="preserve">Retail</t>
        </is>
      </c>
      <c r="J188" s="5" t="inlineStr">
        <is>
          <t xml:space="preserve">—</t>
        </is>
      </c>
      <c r="K188" s="5" t="inlineStr">
        <is>
          <t xml:space="preserve">—</t>
        </is>
      </c>
      <c r="L188" s="5" t="inlineStr">
        <is>
          <t xml:space="preserve">RN-57</t>
        </is>
      </c>
      <c r="M188" s="5" t="inlineStr">
        <is>
          <t xml:space="preserve">El límite de unidades por cliente es un parámetro del pedido. Su aplicación en el primer evento anual se confirma en la arquitectura y en el plan de riesgos.</t>
        </is>
      </c>
      <c r="N188" s="5" t="inlineStr">
        <is>
          <t xml:space="preserve">—</t>
        </is>
      </c>
      <c r="O188" s="5" t="inlineStr">
        <is>
          <t xml:space="preserve">RF-026.3</t>
        </is>
      </c>
    </row>
    <row r="189">
      <c r="A189" s="5" t="inlineStr">
        <is>
          <t xml:space="preserve">RF-181</t>
        </is>
      </c>
      <c r="B189" s="4" t="inlineStr">
        <is>
          <t xml:space="preserve">RF</t>
        </is>
      </c>
      <c r="C189" s="5" t="inlineStr">
        <is>
          <t xml:space="preserve">El sistema deberá desactivar temporalmente los medios de pago de mayor fricción operativa declarados.</t>
        </is>
      </c>
      <c r="D189" s="5" t="inlineStr">
        <is>
          <t xml:space="preserve">R:V-02</t>
        </is>
      </c>
      <c r="E189" s="5" t="inlineStr">
        <is>
          <t xml:space="preserve">Servicio de ventas</t>
        </is>
      </c>
      <c r="F189" s="5" t="inlineStr">
        <is>
          <t xml:space="preserve">Retail</t>
        </is>
      </c>
      <c r="G189" s="4" t="inlineStr">
        <is>
          <t xml:space="preserve">1</t>
        </is>
      </c>
      <c r="H189" s="4" t="inlineStr">
        <is>
          <t xml:space="preserve">Alta</t>
        </is>
      </c>
      <c r="I189" s="5" t="inlineStr">
        <is>
          <t xml:space="preserve">Retail</t>
        </is>
      </c>
      <c r="J189" s="5" t="inlineStr">
        <is>
          <t xml:space="preserve">—</t>
        </is>
      </c>
      <c r="K189" s="5" t="inlineStr">
        <is>
          <t xml:space="preserve">—</t>
        </is>
      </c>
      <c r="L189" s="5" t="inlineStr">
        <is>
          <t xml:space="preserve">RN-57</t>
        </is>
      </c>
      <c r="M189" s="5" t="inlineStr">
        <is>
          <t xml:space="preserve">Los medios de pago son datos del servicio de ventas.</t>
        </is>
      </c>
      <c r="N189" s="5" t="inlineStr">
        <is>
          <t xml:space="preserve">—</t>
        </is>
      </c>
      <c r="O189" s="5" t="inlineStr">
        <is>
          <t xml:space="preserve">RF-026.4</t>
        </is>
      </c>
    </row>
    <row r="190">
      <c r="A190" s="5" t="inlineStr">
        <is>
          <t xml:space="preserve">RF-182</t>
        </is>
      </c>
      <c r="B190" s="4" t="inlineStr">
        <is>
          <t xml:space="preserve">RF</t>
        </is>
      </c>
      <c r="C190" s="5" t="inlineStr">
        <is>
          <t xml:space="preserve">El sistema deberá monitorear en tiempo real la tasa de cancelación por falta de existencia por categoría.</t>
        </is>
      </c>
      <c r="D190" s="5" t="inlineStr">
        <is>
          <t xml:space="preserve">R:M-03</t>
        </is>
      </c>
      <c r="E190" s="5" t="inlineStr">
        <is>
          <t xml:space="preserve">Servicio de existencias</t>
        </is>
      </c>
      <c r="F190" s="5" t="inlineStr">
        <is>
          <t xml:space="preserve">Retail</t>
        </is>
      </c>
      <c r="G190" s="4" t="inlineStr">
        <is>
          <t xml:space="preserve">1</t>
        </is>
      </c>
      <c r="H190" s="4" t="inlineStr">
        <is>
          <t xml:space="preserve">Alta</t>
        </is>
      </c>
      <c r="I190" s="5" t="inlineStr">
        <is>
          <t xml:space="preserve">Retail</t>
        </is>
      </c>
      <c r="J190" s="5" t="inlineStr">
        <is>
          <t xml:space="preserve">—</t>
        </is>
      </c>
      <c r="K190" s="5" t="inlineStr">
        <is>
          <t xml:space="preserve">—</t>
        </is>
      </c>
      <c r="L190" s="5" t="inlineStr">
        <is>
          <t xml:space="preserve">RN-57, RN-09</t>
        </is>
      </c>
      <c r="M190" s="5" t="inlineStr">
        <is>
          <t xml:space="preserve"/>
        </is>
      </c>
      <c r="N190" s="5" t="inlineStr">
        <is>
          <t xml:space="preserve">—</t>
        </is>
      </c>
      <c r="O190" s="5" t="inlineStr">
        <is>
          <t xml:space="preserve">RF-027.1</t>
        </is>
      </c>
    </row>
    <row r="191">
      <c r="A191" s="5" t="inlineStr">
        <is>
          <t xml:space="preserve">RF-183</t>
        </is>
      </c>
      <c r="B191" s="4" t="inlineStr">
        <is>
          <t xml:space="preserve">RF</t>
        </is>
      </c>
      <c r="C191" s="5" t="inlineStr">
        <is>
          <t xml:space="preserve">El sistema deberá activar la acción de degradación declarada para esa categoría en RF-026.1.</t>
        </is>
      </c>
      <c r="D191" s="5" t="inlineStr">
        <is>
          <t xml:space="preserve">R:M-03</t>
        </is>
      </c>
      <c r="E191" s="5" t="inlineStr">
        <is>
          <t xml:space="preserve">Servicio de existencias</t>
        </is>
      </c>
      <c r="F191" s="5" t="inlineStr">
        <is>
          <t xml:space="preserve">Retail</t>
        </is>
      </c>
      <c r="G191" s="4" t="inlineStr">
        <is>
          <t xml:space="preserve">1</t>
        </is>
      </c>
      <c r="H191" s="4" t="inlineStr">
        <is>
          <t xml:space="preserve">Alta</t>
        </is>
      </c>
      <c r="I191" s="5" t="inlineStr">
        <is>
          <t xml:space="preserve">Retail</t>
        </is>
      </c>
      <c r="J191" s="5" t="inlineStr">
        <is>
          <t xml:space="preserve">—</t>
        </is>
      </c>
      <c r="K191" s="5" t="inlineStr">
        <is>
          <t xml:space="preserve">—</t>
        </is>
      </c>
      <c r="L191" s="5" t="inlineStr">
        <is>
          <t xml:space="preserve">RN-57, RN-11</t>
        </is>
      </c>
      <c r="M191" s="5" t="inlineStr">
        <is>
          <t xml:space="preserve"/>
        </is>
      </c>
      <c r="N191" s="5" t="inlineStr">
        <is>
          <t xml:space="preserve">—</t>
        </is>
      </c>
      <c r="O191" s="5" t="inlineStr">
        <is>
          <t xml:space="preserve">RF-027.2</t>
        </is>
      </c>
    </row>
    <row r="192">
      <c r="A192" s="5" t="inlineStr">
        <is>
          <t xml:space="preserve">RF-184</t>
        </is>
      </c>
      <c r="B192" s="4" t="inlineStr">
        <is>
          <t xml:space="preserve">RF</t>
        </is>
      </c>
      <c r="C192" s="5" t="inlineStr">
        <is>
          <t xml:space="preserve">El sistema deberá permitir parametrizar las cinco ventanas de congelamiento (1 nov - 6 ene; evento anual y su semana previa; evento de noviembre; semana del Día de la Madre; última semana de enero a primera de marzo).</t>
        </is>
      </c>
      <c r="D192" s="5" t="inlineStr">
        <is>
          <t xml:space="preserve">—</t>
        </is>
      </c>
      <c r="E192" s="5" t="inlineStr">
        <is>
          <t xml:space="preserve">Base tecnológica</t>
        </is>
      </c>
      <c r="F192" s="5" t="inlineStr">
        <is>
          <t xml:space="preserve">Ambos</t>
        </is>
      </c>
      <c r="G192" s="4" t="inlineStr">
        <is>
          <t xml:space="preserve">1</t>
        </is>
      </c>
      <c r="H192" s="4" t="inlineStr">
        <is>
          <t xml:space="preserve">Alta</t>
        </is>
      </c>
      <c r="I192" s="5" t="inlineStr">
        <is>
          <t xml:space="preserve">Ambos</t>
        </is>
      </c>
      <c r="J192" s="5" t="inlineStr">
        <is>
          <t xml:space="preserve">—</t>
        </is>
      </c>
      <c r="K192" s="5" t="inlineStr">
        <is>
          <t xml:space="preserve">—</t>
        </is>
      </c>
      <c r="L192" s="5" t="inlineStr">
        <is>
          <t xml:space="preserve">RN-55</t>
        </is>
      </c>
      <c r="M192" s="5" t="inlineStr">
        <is>
          <t xml:space="preserve">Mecanismo de degradación y de congelamiento de la base tecnológica.</t>
        </is>
      </c>
      <c r="N192" s="5" t="inlineStr">
        <is>
          <t xml:space="preserve">—</t>
        </is>
      </c>
      <c r="O192" s="5" t="inlineStr">
        <is>
          <t xml:space="preserve">RF-028.1</t>
        </is>
      </c>
    </row>
    <row r="193">
      <c r="A193" s="5" t="inlineStr">
        <is>
          <t xml:space="preserve">RF-185</t>
        </is>
      </c>
      <c r="B193" s="4" t="inlineStr">
        <is>
          <t xml:space="preserve">RF</t>
        </is>
      </c>
      <c r="C193" s="5" t="inlineStr">
        <is>
          <t xml:space="preserve">El sistema deberá impedir la ejecución del despliegue o intervención en producción durante la ventana de congelamiento.</t>
        </is>
      </c>
      <c r="D193" s="5" t="inlineStr">
        <is>
          <t xml:space="preserve">—</t>
        </is>
      </c>
      <c r="E193" s="5" t="inlineStr">
        <is>
          <t xml:space="preserve">Base tecnológica</t>
        </is>
      </c>
      <c r="F193" s="5" t="inlineStr">
        <is>
          <t xml:space="preserve">Ambos</t>
        </is>
      </c>
      <c r="G193" s="4" t="inlineStr">
        <is>
          <t xml:space="preserve">1</t>
        </is>
      </c>
      <c r="H193" s="4" t="inlineStr">
        <is>
          <t xml:space="preserve">Alta</t>
        </is>
      </c>
      <c r="I193" s="5" t="inlineStr">
        <is>
          <t xml:space="preserve">Ambos</t>
        </is>
      </c>
      <c r="J193" s="5" t="inlineStr">
        <is>
          <t xml:space="preserve">—</t>
        </is>
      </c>
      <c r="K193" s="5" t="inlineStr">
        <is>
          <t xml:space="preserve">—</t>
        </is>
      </c>
      <c r="L193" s="5" t="inlineStr">
        <is>
          <t xml:space="preserve">RN-55</t>
        </is>
      </c>
      <c r="M193" s="5" t="inlineStr">
        <is>
          <t xml:space="preserve">Mecanismo de degradación y de congelamiento de la base tecnológica.</t>
        </is>
      </c>
      <c r="N193" s="5" t="inlineStr">
        <is>
          <t xml:space="preserve">—</t>
        </is>
      </c>
      <c r="O193" s="5" t="inlineStr">
        <is>
          <t xml:space="preserve">RF-028.2</t>
        </is>
      </c>
    </row>
    <row r="194">
      <c r="A194" s="5" t="inlineStr">
        <is>
          <t xml:space="preserve">RF-186</t>
        </is>
      </c>
      <c r="B194" s="4" t="inlineStr">
        <is>
          <t xml:space="preserve">RF</t>
        </is>
      </c>
      <c r="C194" s="5" t="inlineStr">
        <is>
          <t xml:space="preserve">El sistema deberá registrar el intento de despliegue bloqueado, indicando componente, solicitante e instante.</t>
        </is>
      </c>
      <c r="D194" s="5" t="inlineStr">
        <is>
          <t xml:space="preserve">—</t>
        </is>
      </c>
      <c r="E194" s="5" t="inlineStr">
        <is>
          <t xml:space="preserve">Base tecnológica</t>
        </is>
      </c>
      <c r="F194" s="5" t="inlineStr">
        <is>
          <t xml:space="preserve">Ambos</t>
        </is>
      </c>
      <c r="G194" s="4" t="inlineStr">
        <is>
          <t xml:space="preserve">1</t>
        </is>
      </c>
      <c r="H194" s="4" t="inlineStr">
        <is>
          <t xml:space="preserve">Alta</t>
        </is>
      </c>
      <c r="I194" s="5" t="inlineStr">
        <is>
          <t xml:space="preserve">Ambos</t>
        </is>
      </c>
      <c r="J194" s="5" t="inlineStr">
        <is>
          <t xml:space="preserve">—</t>
        </is>
      </c>
      <c r="K194" s="5" t="inlineStr">
        <is>
          <t xml:space="preserve">—</t>
        </is>
      </c>
      <c r="L194" s="5" t="inlineStr">
        <is>
          <t xml:space="preserve">RN-55</t>
        </is>
      </c>
      <c r="M194" s="5" t="inlineStr">
        <is>
          <t xml:space="preserve">Mecanismo de degradación y de congelamiento de la base tecnológica.</t>
        </is>
      </c>
      <c r="N194" s="5" t="inlineStr">
        <is>
          <t xml:space="preserve">—</t>
        </is>
      </c>
      <c r="O194" s="5" t="inlineStr">
        <is>
          <t xml:space="preserve">RF-028.3</t>
        </is>
      </c>
    </row>
    <row r="195">
      <c r="A195" s="5" t="inlineStr">
        <is>
          <t xml:space="preserve">RF-187</t>
        </is>
      </c>
      <c r="B195" s="4" t="inlineStr">
        <is>
          <t xml:space="preserve">RF</t>
        </is>
      </c>
      <c r="C195" s="5" t="inlineStr">
        <is>
          <t xml:space="preserve">El sistema debe permitir al ejecutivo de mesón atender íntegramente el caso de garantía legal en la tienda.</t>
        </is>
      </c>
      <c r="D195" s="5" t="inlineStr">
        <is>
          <t xml:space="preserve">R:CL-01</t>
        </is>
      </c>
      <c r="E195" s="5" t="inlineStr">
        <is>
          <t xml:space="preserve">Servicio de posventa</t>
        </is>
      </c>
      <c r="F195" s="5" t="inlineStr">
        <is>
          <t xml:space="preserve">Retail</t>
        </is>
      </c>
      <c r="G195" s="4" t="inlineStr">
        <is>
          <t xml:space="preserve">2</t>
        </is>
      </c>
      <c r="H195" s="4" t="inlineStr">
        <is>
          <t xml:space="preserve">Alta</t>
        </is>
      </c>
      <c r="I195" s="5" t="inlineStr">
        <is>
          <t xml:space="preserve">Retail</t>
        </is>
      </c>
      <c r="J195" s="5" t="inlineStr">
        <is>
          <t xml:space="preserve">—</t>
        </is>
      </c>
      <c r="K195" s="5" t="inlineStr">
        <is>
          <t xml:space="preserve">—</t>
        </is>
      </c>
      <c r="L195" s="5" t="inlineStr">
        <is>
          <t xml:space="preserve">RN-26</t>
        </is>
      </c>
      <c r="M195" s="5" t="inlineStr">
        <is>
          <t xml:space="preserve"/>
        </is>
      </c>
      <c r="N195" s="5" t="inlineStr">
        <is>
          <t xml:space="preserve">RF-019</t>
        </is>
      </c>
      <c r="O195" s="5" t="inlineStr">
        <is>
          <t xml:space="preserve">RF-019a</t>
        </is>
      </c>
    </row>
    <row r="196">
      <c r="A196" s="5" t="inlineStr">
        <is>
          <t xml:space="preserve">RF-188</t>
        </is>
      </c>
      <c r="B196" s="4" t="inlineStr">
        <is>
          <t xml:space="preserve">RF</t>
        </is>
      </c>
      <c r="C196" s="5" t="inlineStr">
        <is>
          <t xml:space="preserve">El sistema debe impedir que el flujo de atención exija la derivación del consumidor al fabricante, al servicio técnico o al vendedor de marketplace como condición para ser atendido.</t>
        </is>
      </c>
      <c r="D196" s="5" t="inlineStr">
        <is>
          <t xml:space="preserve">R:CL-01</t>
        </is>
      </c>
      <c r="E196" s="5" t="inlineStr">
        <is>
          <t xml:space="preserve">Servicio de posventa</t>
        </is>
      </c>
      <c r="F196" s="5" t="inlineStr">
        <is>
          <t xml:space="preserve">Retail</t>
        </is>
      </c>
      <c r="G196" s="4" t="inlineStr">
        <is>
          <t xml:space="preserve">2</t>
        </is>
      </c>
      <c r="H196" s="4" t="inlineStr">
        <is>
          <t xml:space="preserve">Alta</t>
        </is>
      </c>
      <c r="I196" s="5" t="inlineStr">
        <is>
          <t xml:space="preserve">Retail</t>
        </is>
      </c>
      <c r="J196" s="5" t="inlineStr">
        <is>
          <t xml:space="preserve">—</t>
        </is>
      </c>
      <c r="K196" s="5" t="inlineStr">
        <is>
          <t xml:space="preserve">—</t>
        </is>
      </c>
      <c r="L196" s="5" t="inlineStr">
        <is>
          <t xml:space="preserve">RN-26</t>
        </is>
      </c>
      <c r="M196" s="5" t="inlineStr">
        <is>
          <t xml:space="preserve">Sostiene la restricción 7 (la garantía legal se ejerce ante la compañía, sin derivar al consumidor).</t>
        </is>
      </c>
      <c r="N196" s="5" t="inlineStr">
        <is>
          <t xml:space="preserve">RF-019</t>
        </is>
      </c>
      <c r="O196" s="5" t="inlineStr">
        <is>
          <t xml:space="preserve">RF-019b</t>
        </is>
      </c>
    </row>
    <row r="197">
      <c r="A197" s="5" t="inlineStr">
        <is>
          <t xml:space="preserve">RF-189</t>
        </is>
      </c>
      <c r="B197" s="4" t="inlineStr">
        <is>
          <t xml:space="preserve">RF</t>
        </is>
      </c>
      <c r="C197" s="5" t="inlineStr">
        <is>
          <t xml:space="preserve">El sistema deberá permitir al ejecutivo registrar el motivo de la devolución (talla, color, expectativa, falla).</t>
        </is>
      </c>
      <c r="D197" s="5" t="inlineStr">
        <is>
          <t xml:space="preserve">R:CL-01</t>
        </is>
      </c>
      <c r="E197" s="5" t="inlineStr">
        <is>
          <t xml:space="preserve">Servicio de posventa</t>
        </is>
      </c>
      <c r="F197" s="5" t="inlineStr">
        <is>
          <t xml:space="preserve">Retail</t>
        </is>
      </c>
      <c r="G197" s="4" t="inlineStr">
        <is>
          <t xml:space="preserve">2</t>
        </is>
      </c>
      <c r="H197" s="4" t="inlineStr">
        <is>
          <t xml:space="preserve">Media</t>
        </is>
      </c>
      <c r="I197" s="5" t="inlineStr">
        <is>
          <t xml:space="preserve">Retail</t>
        </is>
      </c>
      <c r="J197" s="5" t="inlineStr">
        <is>
          <t xml:space="preserve">—</t>
        </is>
      </c>
      <c r="K197" s="5" t="inlineStr">
        <is>
          <t xml:space="preserve">—</t>
        </is>
      </c>
      <c r="L197" s="5" t="inlineStr">
        <is>
          <t xml:space="preserve">RN-14</t>
        </is>
      </c>
      <c r="M197" s="5" t="inlineStr">
        <is>
          <t xml:space="preserve"/>
        </is>
      </c>
      <c r="N197" s="5" t="inlineStr">
        <is>
          <t xml:space="preserve">—</t>
        </is>
      </c>
      <c r="O197" s="5" t="inlineStr">
        <is>
          <t xml:space="preserve">RF-020</t>
        </is>
      </c>
    </row>
    <row r="198">
      <c r="A198" s="5" t="inlineStr">
        <is>
          <t xml:space="preserve">RF-190</t>
        </is>
      </c>
      <c r="B198" s="4" t="inlineStr">
        <is>
          <t xml:space="preserve">RF</t>
        </is>
      </c>
      <c r="C198" s="5" t="inlineStr">
        <is>
          <t xml:space="preserve">El sistema deberá impedir el reingreso de una unidad devuelta al inventario disponible mientras no exista una decisión de aptitud registrada.</t>
        </is>
      </c>
      <c r="D198" s="5" t="inlineStr">
        <is>
          <t xml:space="preserve">R:CL-01</t>
        </is>
      </c>
      <c r="E198" s="5" t="inlineStr">
        <is>
          <t xml:space="preserve">Servicio de posventa</t>
        </is>
      </c>
      <c r="F198" s="5" t="inlineStr">
        <is>
          <t xml:space="preserve">Retail</t>
        </is>
      </c>
      <c r="G198" s="4" t="inlineStr">
        <is>
          <t xml:space="preserve">2</t>
        </is>
      </c>
      <c r="H198" s="4" t="inlineStr">
        <is>
          <t xml:space="preserve">Media</t>
        </is>
      </c>
      <c r="I198" s="5" t="inlineStr">
        <is>
          <t xml:space="preserve">Retail</t>
        </is>
      </c>
      <c r="J198" s="5" t="inlineStr">
        <is>
          <t xml:space="preserve">—</t>
        </is>
      </c>
      <c r="K198" s="5" t="inlineStr">
        <is>
          <t xml:space="preserve">—</t>
        </is>
      </c>
      <c r="L198" s="5" t="inlineStr">
        <is>
          <t xml:space="preserve">RN-14</t>
        </is>
      </c>
      <c r="M198" s="5" t="inlineStr">
        <is>
          <t xml:space="preserve"/>
        </is>
      </c>
      <c r="N198" s="5" t="inlineStr">
        <is>
          <t xml:space="preserve">—</t>
        </is>
      </c>
      <c r="O198" s="5" t="inlineStr">
        <is>
          <t xml:space="preserve">RF-055</t>
        </is>
      </c>
    </row>
    <row r="199">
      <c r="A199" s="5" t="inlineStr">
        <is>
          <t xml:space="preserve">RF-191</t>
        </is>
      </c>
      <c r="B199" s="4" t="inlineStr">
        <is>
          <t xml:space="preserve">RF</t>
        </is>
      </c>
      <c r="C199" s="5" t="inlineStr">
        <is>
          <t xml:space="preserve">El sistema deberá permitir al ejecutivo registrar la decisión de aptitud de la unidad devuelta, identificando al responsable de la decisión y su instante.</t>
        </is>
      </c>
      <c r="D199" s="5" t="inlineStr">
        <is>
          <t xml:space="preserve">R:CL-01</t>
        </is>
      </c>
      <c r="E199" s="5" t="inlineStr">
        <is>
          <t xml:space="preserve">Servicio de posventa</t>
        </is>
      </c>
      <c r="F199" s="5" t="inlineStr">
        <is>
          <t xml:space="preserve">Retail</t>
        </is>
      </c>
      <c r="G199" s="4" t="inlineStr">
        <is>
          <t xml:space="preserve">2</t>
        </is>
      </c>
      <c r="H199" s="4" t="inlineStr">
        <is>
          <t xml:space="preserve">Media</t>
        </is>
      </c>
      <c r="I199" s="5" t="inlineStr">
        <is>
          <t xml:space="preserve">Retail</t>
        </is>
      </c>
      <c r="J199" s="5" t="inlineStr">
        <is>
          <t xml:space="preserve">—</t>
        </is>
      </c>
      <c r="K199" s="5" t="inlineStr">
        <is>
          <t xml:space="preserve">—</t>
        </is>
      </c>
      <c r="L199" s="5" t="inlineStr">
        <is>
          <t xml:space="preserve">RN-14</t>
        </is>
      </c>
      <c r="M199" s="5" t="inlineStr">
        <is>
          <t xml:space="preserve"/>
        </is>
      </c>
      <c r="N199" s="5" t="inlineStr">
        <is>
          <t xml:space="preserve">—</t>
        </is>
      </c>
      <c r="O199" s="5" t="inlineStr">
        <is>
          <t xml:space="preserve">RF-056</t>
        </is>
      </c>
    </row>
    <row r="200">
      <c r="A200" s="5" t="inlineStr">
        <is>
          <t xml:space="preserve">RF-192</t>
        </is>
      </c>
      <c r="B200" s="4" t="inlineStr">
        <is>
          <t xml:space="preserve">RF</t>
        </is>
      </c>
      <c r="C200" s="5" t="inlineStr">
        <is>
          <t xml:space="preserve">El sistema deberá presentar al ejecutivo las tres opciones de garantía legal (reparación, reposición y devolución del precio) para que el consumidor elija.</t>
        </is>
      </c>
      <c r="D200" s="5" t="inlineStr">
        <is>
          <t xml:space="preserve">R:CL-01</t>
        </is>
      </c>
      <c r="E200" s="5" t="inlineStr">
        <is>
          <t xml:space="preserve">Servicio de posventa</t>
        </is>
      </c>
      <c r="F200" s="5" t="inlineStr">
        <is>
          <t xml:space="preserve">Retail</t>
        </is>
      </c>
      <c r="G200" s="4" t="inlineStr">
        <is>
          <t xml:space="preserve">2</t>
        </is>
      </c>
      <c r="H200" s="4" t="inlineStr">
        <is>
          <t xml:space="preserve">Alta</t>
        </is>
      </c>
      <c r="I200" s="5" t="inlineStr">
        <is>
          <t xml:space="preserve">Retail</t>
        </is>
      </c>
      <c r="J200" s="5" t="inlineStr">
        <is>
          <t xml:space="preserve">—</t>
        </is>
      </c>
      <c r="K200" s="5" t="inlineStr">
        <is>
          <t xml:space="preserve">—</t>
        </is>
      </c>
      <c r="L200" s="5" t="inlineStr">
        <is>
          <t xml:space="preserve">RN-29</t>
        </is>
      </c>
      <c r="M200" s="5" t="inlineStr">
        <is>
          <t xml:space="preserve"/>
        </is>
      </c>
      <c r="N200" s="5" t="inlineStr">
        <is>
          <t xml:space="preserve">—</t>
        </is>
      </c>
      <c r="O200" s="5" t="inlineStr">
        <is>
          <t xml:space="preserve">RF-087</t>
        </is>
      </c>
    </row>
    <row r="201">
      <c r="A201" s="5" t="inlineStr">
        <is>
          <t xml:space="preserve">RF-193</t>
        </is>
      </c>
      <c r="B201" s="4" t="inlineStr">
        <is>
          <t xml:space="preserve">RF</t>
        </is>
      </c>
      <c r="C201" s="5" t="inlineStr">
        <is>
          <t xml:space="preserve">El sistema debe registrar la opción de garantía legal ofrecida al consumidor.</t>
        </is>
      </c>
      <c r="D201" s="5" t="inlineStr">
        <is>
          <t xml:space="preserve">R:CL-01</t>
        </is>
      </c>
      <c r="E201" s="5" t="inlineStr">
        <is>
          <t xml:space="preserve">Servicio de posventa</t>
        </is>
      </c>
      <c r="F201" s="5" t="inlineStr">
        <is>
          <t xml:space="preserve">Retail</t>
        </is>
      </c>
      <c r="G201" s="4" t="inlineStr">
        <is>
          <t xml:space="preserve">2</t>
        </is>
      </c>
      <c r="H201" s="4" t="inlineStr">
        <is>
          <t xml:space="preserve">Alta</t>
        </is>
      </c>
      <c r="I201" s="5" t="inlineStr">
        <is>
          <t xml:space="preserve">Retail</t>
        </is>
      </c>
      <c r="J201" s="5" t="inlineStr">
        <is>
          <t xml:space="preserve">—</t>
        </is>
      </c>
      <c r="K201" s="5" t="inlineStr">
        <is>
          <t xml:space="preserve">—</t>
        </is>
      </c>
      <c r="L201" s="5" t="inlineStr">
        <is>
          <t xml:space="preserve">RN-29</t>
        </is>
      </c>
      <c r="M201" s="5" t="inlineStr">
        <is>
          <t xml:space="preserve"/>
        </is>
      </c>
      <c r="N201" s="5" t="inlineStr">
        <is>
          <t xml:space="preserve">RF-088</t>
        </is>
      </c>
      <c r="O201" s="5" t="inlineStr">
        <is>
          <t xml:space="preserve">RF-088a</t>
        </is>
      </c>
    </row>
    <row r="202">
      <c r="A202" s="5" t="inlineStr">
        <is>
          <t xml:space="preserve">RF-194</t>
        </is>
      </c>
      <c r="B202" s="4" t="inlineStr">
        <is>
          <t xml:space="preserve">RF</t>
        </is>
      </c>
      <c r="C202" s="5" t="inlineStr">
        <is>
          <t xml:space="preserve">El sistema debe registrar la opción de garantía legal efectivamente elegida por el consumidor.</t>
        </is>
      </c>
      <c r="D202" s="5" t="inlineStr">
        <is>
          <t xml:space="preserve">R:CL-01</t>
        </is>
      </c>
      <c r="E202" s="5" t="inlineStr">
        <is>
          <t xml:space="preserve">Servicio de posventa</t>
        </is>
      </c>
      <c r="F202" s="5" t="inlineStr">
        <is>
          <t xml:space="preserve">Retail</t>
        </is>
      </c>
      <c r="G202" s="4" t="inlineStr">
        <is>
          <t xml:space="preserve">2</t>
        </is>
      </c>
      <c r="H202" s="4" t="inlineStr">
        <is>
          <t xml:space="preserve">Alta</t>
        </is>
      </c>
      <c r="I202" s="5" t="inlineStr">
        <is>
          <t xml:space="preserve">Retail</t>
        </is>
      </c>
      <c r="J202" s="5" t="inlineStr">
        <is>
          <t xml:space="preserve">—</t>
        </is>
      </c>
      <c r="K202" s="5" t="inlineStr">
        <is>
          <t xml:space="preserve">—</t>
        </is>
      </c>
      <c r="L202" s="5" t="inlineStr">
        <is>
          <t xml:space="preserve">RN-29</t>
        </is>
      </c>
      <c r="M202" s="5" t="inlineStr">
        <is>
          <t xml:space="preserve"/>
        </is>
      </c>
      <c r="N202" s="5" t="inlineStr">
        <is>
          <t xml:space="preserve">RF-088</t>
        </is>
      </c>
      <c r="O202" s="5" t="inlineStr">
        <is>
          <t xml:space="preserve">RF-088b</t>
        </is>
      </c>
    </row>
    <row r="203">
      <c r="A203" s="5" t="inlineStr">
        <is>
          <t xml:space="preserve">RF-195</t>
        </is>
      </c>
      <c r="B203" s="4" t="inlineStr">
        <is>
          <t xml:space="preserve">RF</t>
        </is>
      </c>
      <c r="C203" s="5" t="inlineStr">
        <is>
          <t xml:space="preserve">El sistema deberá permitir parametrizar el plazo de garantía legal por tipo de producto, sin requerir modificacion de código.</t>
        </is>
      </c>
      <c r="D203" s="5" t="inlineStr">
        <is>
          <t xml:space="preserve">R:CL-01</t>
        </is>
      </c>
      <c r="E203" s="5" t="inlineStr">
        <is>
          <t xml:space="preserve">Servicio de posventa</t>
        </is>
      </c>
      <c r="F203" s="5" t="inlineStr">
        <is>
          <t xml:space="preserve">Retail</t>
        </is>
      </c>
      <c r="G203" s="4" t="inlineStr">
        <is>
          <t xml:space="preserve">2</t>
        </is>
      </c>
      <c r="H203" s="4" t="inlineStr">
        <is>
          <t xml:space="preserve">Alta</t>
        </is>
      </c>
      <c r="I203" s="5" t="inlineStr">
        <is>
          <t xml:space="preserve">Retail</t>
        </is>
      </c>
      <c r="J203" s="5" t="inlineStr">
        <is>
          <t xml:space="preserve">—</t>
        </is>
      </c>
      <c r="K203" s="5" t="inlineStr">
        <is>
          <t xml:space="preserve">—</t>
        </is>
      </c>
      <c r="L203" s="5" t="inlineStr">
        <is>
          <t xml:space="preserve">RN-29</t>
        </is>
      </c>
      <c r="M203" s="5" t="inlineStr">
        <is>
          <t xml:space="preserve"/>
        </is>
      </c>
      <c r="N203" s="5" t="inlineStr">
        <is>
          <t xml:space="preserve">—</t>
        </is>
      </c>
      <c r="O203" s="5" t="inlineStr">
        <is>
          <t xml:space="preserve">RF-089</t>
        </is>
      </c>
    </row>
    <row r="204">
      <c r="A204" s="5" t="inlineStr">
        <is>
          <t xml:space="preserve">RF-196</t>
        </is>
      </c>
      <c r="B204" s="4" t="inlineStr">
        <is>
          <t xml:space="preserve">RF</t>
        </is>
      </c>
      <c r="C204" s="5" t="inlineStr">
        <is>
          <t xml:space="preserve">El sistema deberá registrar el hito de resolución al consumidor con su fecha propia.</t>
        </is>
      </c>
      <c r="D204" s="5" t="inlineStr">
        <is>
          <t xml:space="preserve">R:CL-01</t>
        </is>
      </c>
      <c r="E204" s="5" t="inlineStr">
        <is>
          <t xml:space="preserve">Servicio de posventa</t>
        </is>
      </c>
      <c r="F204" s="5" t="inlineStr">
        <is>
          <t xml:space="preserve">Retail</t>
        </is>
      </c>
      <c r="G204" s="4" t="inlineStr">
        <is>
          <t xml:space="preserve">2</t>
        </is>
      </c>
      <c r="H204" s="4" t="inlineStr">
        <is>
          <t xml:space="preserve">Media</t>
        </is>
      </c>
      <c r="I204" s="5" t="inlineStr">
        <is>
          <t xml:space="preserve">Retail</t>
        </is>
      </c>
      <c r="J204" s="5" t="inlineStr">
        <is>
          <t xml:space="preserve">—</t>
        </is>
      </c>
      <c r="K204" s="5" t="inlineStr">
        <is>
          <t xml:space="preserve">—</t>
        </is>
      </c>
      <c r="L204" s="5" t="inlineStr">
        <is>
          <t xml:space="preserve">RN-27</t>
        </is>
      </c>
      <c r="M204" s="5" t="inlineStr">
        <is>
          <t xml:space="preserve"/>
        </is>
      </c>
      <c r="N204" s="5" t="inlineStr">
        <is>
          <t xml:space="preserve">—</t>
        </is>
      </c>
      <c r="O204" s="5" t="inlineStr">
        <is>
          <t xml:space="preserve">RF-090</t>
        </is>
      </c>
    </row>
    <row r="205">
      <c r="A205" s="5" t="inlineStr">
        <is>
          <t xml:space="preserve">RF-197</t>
        </is>
      </c>
      <c r="B205" s="4" t="inlineStr">
        <is>
          <t xml:space="preserve">RF</t>
        </is>
      </c>
      <c r="C205" s="5" t="inlineStr">
        <is>
          <t xml:space="preserve">El sistema deberá registrar el hito de recuperación contra el tercero responsable con una fecha independiente de la resolución al consumidor.</t>
        </is>
      </c>
      <c r="D205" s="5" t="inlineStr">
        <is>
          <t xml:space="preserve">R:CL-01</t>
        </is>
      </c>
      <c r="E205" s="5" t="inlineStr">
        <is>
          <t xml:space="preserve">Servicio de posventa</t>
        </is>
      </c>
      <c r="F205" s="5" t="inlineStr">
        <is>
          <t xml:space="preserve">Retail</t>
        </is>
      </c>
      <c r="G205" s="4" t="inlineStr">
        <is>
          <t xml:space="preserve">2</t>
        </is>
      </c>
      <c r="H205" s="4" t="inlineStr">
        <is>
          <t xml:space="preserve">Media</t>
        </is>
      </c>
      <c r="I205" s="5" t="inlineStr">
        <is>
          <t xml:space="preserve">Retail</t>
        </is>
      </c>
      <c r="J205" s="5" t="inlineStr">
        <is>
          <t xml:space="preserve">—</t>
        </is>
      </c>
      <c r="K205" s="5" t="inlineStr">
        <is>
          <t xml:space="preserve">—</t>
        </is>
      </c>
      <c r="L205" s="5" t="inlineStr">
        <is>
          <t xml:space="preserve">RN-27</t>
        </is>
      </c>
      <c r="M205" s="5" t="inlineStr">
        <is>
          <t xml:space="preserve"/>
        </is>
      </c>
      <c r="N205" s="5" t="inlineStr">
        <is>
          <t xml:space="preserve">—</t>
        </is>
      </c>
      <c r="O205" s="5" t="inlineStr">
        <is>
          <t xml:space="preserve">RF-091</t>
        </is>
      </c>
    </row>
    <row r="206">
      <c r="A206" s="5" t="inlineStr">
        <is>
          <t xml:space="preserve">RF-198</t>
        </is>
      </c>
      <c r="B206" s="4" t="inlineStr">
        <is>
          <t xml:space="preserve">RF</t>
        </is>
      </c>
      <c r="C206" s="5" t="inlineStr">
        <is>
          <t xml:space="preserve">El sistema deberá impedir que el estado de la recuperación contra el tercero condicione el cierre de la resolución al consumidor.</t>
        </is>
      </c>
      <c r="D206" s="5" t="inlineStr">
        <is>
          <t xml:space="preserve">R:CL-01</t>
        </is>
      </c>
      <c r="E206" s="5" t="inlineStr">
        <is>
          <t xml:space="preserve">Servicio de posventa</t>
        </is>
      </c>
      <c r="F206" s="5" t="inlineStr">
        <is>
          <t xml:space="preserve">Retail</t>
        </is>
      </c>
      <c r="G206" s="4" t="inlineStr">
        <is>
          <t xml:space="preserve">2</t>
        </is>
      </c>
      <c r="H206" s="4" t="inlineStr">
        <is>
          <t xml:space="preserve">Media</t>
        </is>
      </c>
      <c r="I206" s="5" t="inlineStr">
        <is>
          <t xml:space="preserve">Retail</t>
        </is>
      </c>
      <c r="J206" s="5" t="inlineStr">
        <is>
          <t xml:space="preserve">—</t>
        </is>
      </c>
      <c r="K206" s="5" t="inlineStr">
        <is>
          <t xml:space="preserve">—</t>
        </is>
      </c>
      <c r="L206" s="5" t="inlineStr">
        <is>
          <t xml:space="preserve">RN-27, RN-26</t>
        </is>
      </c>
      <c r="M206" s="5" t="inlineStr">
        <is>
          <t xml:space="preserve"/>
        </is>
      </c>
      <c r="N206" s="5" t="inlineStr">
        <is>
          <t xml:space="preserve">—</t>
        </is>
      </c>
      <c r="O206" s="5" t="inlineStr">
        <is>
          <t xml:space="preserve">RF-092</t>
        </is>
      </c>
    </row>
    <row r="207">
      <c r="A207" s="5" t="inlineStr">
        <is>
          <t xml:space="preserve">RF-199</t>
        </is>
      </c>
      <c r="B207" s="4" t="inlineStr">
        <is>
          <t xml:space="preserve">RF</t>
        </is>
      </c>
      <c r="C207" s="5" t="inlineStr">
        <is>
          <t xml:space="preserve">El sistema deberá exigir la entrega completa de la información precontractual antes de habilitar la evaluación de la solicitud de crédito.</t>
        </is>
      </c>
      <c r="D207" s="5" t="inlineStr">
        <is>
          <t xml:space="preserve">F:C-03</t>
        </is>
      </c>
      <c r="E207" s="5" t="inlineStr">
        <is>
          <t xml:space="preserve">Servicio de evidencia financiera</t>
        </is>
      </c>
      <c r="F207" s="5" t="inlineStr">
        <is>
          <t xml:space="preserve">Filial emisora</t>
        </is>
      </c>
      <c r="G207" s="4" t="inlineStr">
        <is>
          <t xml:space="preserve">1</t>
        </is>
      </c>
      <c r="H207" s="4" t="inlineStr">
        <is>
          <t xml:space="preserve">Alta</t>
        </is>
      </c>
      <c r="I207" s="5" t="inlineStr">
        <is>
          <t xml:space="preserve">Filial emisora</t>
        </is>
      </c>
      <c r="J207" s="5" t="inlineStr">
        <is>
          <t xml:space="preserve">—</t>
        </is>
      </c>
      <c r="K207" s="5" t="inlineStr">
        <is>
          <t xml:space="preserve">—</t>
        </is>
      </c>
      <c r="L207" s="5" t="inlineStr">
        <is>
          <t xml:space="preserve">RN-34</t>
        </is>
      </c>
      <c r="M207" s="5" t="inlineStr">
        <is>
          <t xml:space="preserve"/>
        </is>
      </c>
      <c r="N207" s="5" t="inlineStr">
        <is>
          <t xml:space="preserve">—</t>
        </is>
      </c>
      <c r="O207" s="5" t="inlineStr">
        <is>
          <t xml:space="preserve">RF-021</t>
        </is>
      </c>
    </row>
    <row r="208">
      <c r="A208" s="5" t="inlineStr">
        <is>
          <t xml:space="preserve">RF-200</t>
        </is>
      </c>
      <c r="B208" s="4" t="inlineStr">
        <is>
          <t xml:space="preserve">RF</t>
        </is>
      </c>
      <c r="C208" s="5" t="inlineStr">
        <is>
          <t xml:space="preserve">El sistema deberá registrar la versión del documento precontractual entregado.</t>
        </is>
      </c>
      <c r="D208" s="5" t="inlineStr">
        <is>
          <t xml:space="preserve">F:C-03</t>
        </is>
      </c>
      <c r="E208" s="5" t="inlineStr">
        <is>
          <t xml:space="preserve">Servicio de evidencia financiera</t>
        </is>
      </c>
      <c r="F208" s="5" t="inlineStr">
        <is>
          <t xml:space="preserve">Filial emisora</t>
        </is>
      </c>
      <c r="G208" s="4" t="inlineStr">
        <is>
          <t xml:space="preserve">1</t>
        </is>
      </c>
      <c r="H208" s="4" t="inlineStr">
        <is>
          <t xml:space="preserve">Alta</t>
        </is>
      </c>
      <c r="I208" s="5" t="inlineStr">
        <is>
          <t xml:space="preserve">Filial emisora</t>
        </is>
      </c>
      <c r="J208" s="5" t="inlineStr">
        <is>
          <t xml:space="preserve">—</t>
        </is>
      </c>
      <c r="K208" s="5" t="inlineStr">
        <is>
          <t xml:space="preserve">—</t>
        </is>
      </c>
      <c r="L208" s="5" t="inlineStr">
        <is>
          <t xml:space="preserve">RN-35</t>
        </is>
      </c>
      <c r="M208" s="5" t="inlineStr">
        <is>
          <t xml:space="preserve"/>
        </is>
      </c>
      <c r="N208" s="5" t="inlineStr">
        <is>
          <t xml:space="preserve">—</t>
        </is>
      </c>
      <c r="O208" s="5" t="inlineStr">
        <is>
          <t xml:space="preserve">RF-022.1</t>
        </is>
      </c>
    </row>
    <row r="209">
      <c r="A209" s="5" t="inlineStr">
        <is>
          <t xml:space="preserve">RF-201</t>
        </is>
      </c>
      <c r="B209" s="4" t="inlineStr">
        <is>
          <t xml:space="preserve">RF</t>
        </is>
      </c>
      <c r="C209" s="5" t="inlineStr">
        <is>
          <t xml:space="preserve">El sistema deberá registrar el instante de entrega de la información precontractual.</t>
        </is>
      </c>
      <c r="D209" s="5" t="inlineStr">
        <is>
          <t xml:space="preserve">F:C-03</t>
        </is>
      </c>
      <c r="E209" s="5" t="inlineStr">
        <is>
          <t xml:space="preserve">Servicio de evidencia financiera</t>
        </is>
      </c>
      <c r="F209" s="5" t="inlineStr">
        <is>
          <t xml:space="preserve">Filial emisora</t>
        </is>
      </c>
      <c r="G209" s="4" t="inlineStr">
        <is>
          <t xml:space="preserve">1</t>
        </is>
      </c>
      <c r="H209" s="4" t="inlineStr">
        <is>
          <t xml:space="preserve">Alta</t>
        </is>
      </c>
      <c r="I209" s="5" t="inlineStr">
        <is>
          <t xml:space="preserve">Filial emisora</t>
        </is>
      </c>
      <c r="J209" s="5" t="inlineStr">
        <is>
          <t xml:space="preserve">—</t>
        </is>
      </c>
      <c r="K209" s="5" t="inlineStr">
        <is>
          <t xml:space="preserve">—</t>
        </is>
      </c>
      <c r="L209" s="5" t="inlineStr">
        <is>
          <t xml:space="preserve">RN-35</t>
        </is>
      </c>
      <c r="M209" s="5" t="inlineStr">
        <is>
          <t xml:space="preserve"/>
        </is>
      </c>
      <c r="N209" s="5" t="inlineStr">
        <is>
          <t xml:space="preserve">—</t>
        </is>
      </c>
      <c r="O209" s="5" t="inlineStr">
        <is>
          <t xml:space="preserve">RF-022.2</t>
        </is>
      </c>
    </row>
    <row r="210">
      <c r="A210" s="5" t="inlineStr">
        <is>
          <t xml:space="preserve">RF-202</t>
        </is>
      </c>
      <c r="B210" s="4" t="inlineStr">
        <is>
          <t xml:space="preserve">RF</t>
        </is>
      </c>
      <c r="C210" s="5" t="inlineStr">
        <is>
          <t xml:space="preserve">El sistema deberá registrar el instante de aceptación del cliente.</t>
        </is>
      </c>
      <c r="D210" s="5" t="inlineStr">
        <is>
          <t xml:space="preserve">F:C-03</t>
        </is>
      </c>
      <c r="E210" s="5" t="inlineStr">
        <is>
          <t xml:space="preserve">Servicio de evidencia financiera</t>
        </is>
      </c>
      <c r="F210" s="5" t="inlineStr">
        <is>
          <t xml:space="preserve">Filial emisora</t>
        </is>
      </c>
      <c r="G210" s="4" t="inlineStr">
        <is>
          <t xml:space="preserve">1</t>
        </is>
      </c>
      <c r="H210" s="4" t="inlineStr">
        <is>
          <t xml:space="preserve">Alta</t>
        </is>
      </c>
      <c r="I210" s="5" t="inlineStr">
        <is>
          <t xml:space="preserve">Filial emisora</t>
        </is>
      </c>
      <c r="J210" s="5" t="inlineStr">
        <is>
          <t xml:space="preserve">—</t>
        </is>
      </c>
      <c r="K210" s="5" t="inlineStr">
        <is>
          <t xml:space="preserve">—</t>
        </is>
      </c>
      <c r="L210" s="5" t="inlineStr">
        <is>
          <t xml:space="preserve">RN-35</t>
        </is>
      </c>
      <c r="M210" s="5" t="inlineStr">
        <is>
          <t xml:space="preserve"/>
        </is>
      </c>
      <c r="N210" s="5" t="inlineStr">
        <is>
          <t xml:space="preserve">—</t>
        </is>
      </c>
      <c r="O210" s="5" t="inlineStr">
        <is>
          <t xml:space="preserve">RF-022.3</t>
        </is>
      </c>
    </row>
    <row r="211">
      <c r="A211" s="5" t="inlineStr">
        <is>
          <t xml:space="preserve">RF-203</t>
        </is>
      </c>
      <c r="B211" s="4" t="inlineStr">
        <is>
          <t xml:space="preserve">RF</t>
        </is>
      </c>
      <c r="C211" s="5" t="inlineStr">
        <is>
          <t xml:space="preserve">El sistema deberá registrar el medio por el cual se entrego y se aceptó la información precontractual.</t>
        </is>
      </c>
      <c r="D211" s="5" t="inlineStr">
        <is>
          <t xml:space="preserve">F:C-03</t>
        </is>
      </c>
      <c r="E211" s="5" t="inlineStr">
        <is>
          <t xml:space="preserve">Servicio de evidencia financiera</t>
        </is>
      </c>
      <c r="F211" s="5" t="inlineStr">
        <is>
          <t xml:space="preserve">Filial emisora</t>
        </is>
      </c>
      <c r="G211" s="4" t="inlineStr">
        <is>
          <t xml:space="preserve">1</t>
        </is>
      </c>
      <c r="H211" s="4" t="inlineStr">
        <is>
          <t xml:space="preserve">Alta</t>
        </is>
      </c>
      <c r="I211" s="5" t="inlineStr">
        <is>
          <t xml:space="preserve">Filial emisora</t>
        </is>
      </c>
      <c r="J211" s="5" t="inlineStr">
        <is>
          <t xml:space="preserve">—</t>
        </is>
      </c>
      <c r="K211" s="5" t="inlineStr">
        <is>
          <t xml:space="preserve">—</t>
        </is>
      </c>
      <c r="L211" s="5" t="inlineStr">
        <is>
          <t xml:space="preserve">RN-35, RN-P04</t>
        </is>
      </c>
      <c r="M211" s="5" t="inlineStr">
        <is>
          <t xml:space="preserve"/>
        </is>
      </c>
      <c r="N211" s="5" t="inlineStr">
        <is>
          <t xml:space="preserve">—</t>
        </is>
      </c>
      <c r="O211" s="5" t="inlineStr">
        <is>
          <t xml:space="preserve">RF-022.4</t>
        </is>
      </c>
    </row>
    <row r="212">
      <c r="A212" s="5" t="inlineStr">
        <is>
          <t xml:space="preserve">RF-204</t>
        </is>
      </c>
      <c r="B212" s="4" t="inlineStr">
        <is>
          <t xml:space="preserve">RF</t>
        </is>
      </c>
      <c r="C212" s="5" t="inlineStr">
        <is>
          <t xml:space="preserve">El sistema deberá registrar el contenido exacto aceptado por el cliente o su huella de integridad verificable.</t>
        </is>
      </c>
      <c r="D212" s="5" t="inlineStr">
        <is>
          <t xml:space="preserve">F:C-03</t>
        </is>
      </c>
      <c r="E212" s="5" t="inlineStr">
        <is>
          <t xml:space="preserve">Servicio de evidencia financiera</t>
        </is>
      </c>
      <c r="F212" s="5" t="inlineStr">
        <is>
          <t xml:space="preserve">Filial emisora</t>
        </is>
      </c>
      <c r="G212" s="4" t="inlineStr">
        <is>
          <t xml:space="preserve">1</t>
        </is>
      </c>
      <c r="H212" s="4" t="inlineStr">
        <is>
          <t xml:space="preserve">Alta</t>
        </is>
      </c>
      <c r="I212" s="5" t="inlineStr">
        <is>
          <t xml:space="preserve">Filial emisora</t>
        </is>
      </c>
      <c r="J212" s="5" t="inlineStr">
        <is>
          <t xml:space="preserve">—</t>
        </is>
      </c>
      <c r="K212" s="5" t="inlineStr">
        <is>
          <t xml:space="preserve">—</t>
        </is>
      </c>
      <c r="L212" s="5" t="inlineStr">
        <is>
          <t xml:space="preserve">RN-35, RN-41</t>
        </is>
      </c>
      <c r="M212" s="5" t="inlineStr">
        <is>
          <t xml:space="preserve"/>
        </is>
      </c>
      <c r="N212" s="5" t="inlineStr">
        <is>
          <t xml:space="preserve">—</t>
        </is>
      </c>
      <c r="O212" s="5" t="inlineStr">
        <is>
          <t xml:space="preserve">RF-022.5</t>
        </is>
      </c>
    </row>
    <row r="213">
      <c r="A213" s="5" t="inlineStr">
        <is>
          <t xml:space="preserve">RF-205</t>
        </is>
      </c>
      <c r="B213" s="4" t="inlineStr">
        <is>
          <t xml:space="preserve">RF</t>
        </is>
      </c>
      <c r="C213" s="5" t="inlineStr">
        <is>
          <t xml:space="preserve">El sistema deberá dejar constancia expresa de que el cliente recibió la información antes de aceptar, mediante un mecanismo distinto de la sola firma en papel archivado.</t>
        </is>
      </c>
      <c r="D213" s="5" t="inlineStr">
        <is>
          <t xml:space="preserve">F:C-03</t>
        </is>
      </c>
      <c r="E213" s="5" t="inlineStr">
        <is>
          <t xml:space="preserve">Servicio de evidencia financiera</t>
        </is>
      </c>
      <c r="F213" s="5" t="inlineStr">
        <is>
          <t xml:space="preserve">Filial emisora</t>
        </is>
      </c>
      <c r="G213" s="4" t="inlineStr">
        <is>
          <t xml:space="preserve">1</t>
        </is>
      </c>
      <c r="H213" s="4" t="inlineStr">
        <is>
          <t xml:space="preserve">Alta</t>
        </is>
      </c>
      <c r="I213" s="5" t="inlineStr">
        <is>
          <t xml:space="preserve">Filial emisora</t>
        </is>
      </c>
      <c r="J213" s="5" t="inlineStr">
        <is>
          <t xml:space="preserve">—</t>
        </is>
      </c>
      <c r="K213" s="5" t="inlineStr">
        <is>
          <t xml:space="preserve">—</t>
        </is>
      </c>
      <c r="L213" s="5" t="inlineStr">
        <is>
          <t xml:space="preserve">RN-34, RN-35</t>
        </is>
      </c>
      <c r="M213" s="5" t="inlineStr">
        <is>
          <t xml:space="preserve"/>
        </is>
      </c>
      <c r="N213" s="5" t="inlineStr">
        <is>
          <t xml:space="preserve">—</t>
        </is>
      </c>
      <c r="O213" s="5" t="inlineStr">
        <is>
          <t xml:space="preserve">RF-022.6</t>
        </is>
      </c>
    </row>
    <row r="214">
      <c r="A214" s="5" t="inlineStr">
        <is>
          <t xml:space="preserve">RF-206</t>
        </is>
      </c>
      <c r="B214" s="4" t="inlineStr">
        <is>
          <t xml:space="preserve">RF</t>
        </is>
      </c>
      <c r="C214" s="5" t="inlineStr">
        <is>
          <t xml:space="preserve">El sistema deberá impedir el registro de la aceptación del crédito mientras no exista acreditación de entrega previa de la información precontractual completa.</t>
        </is>
      </c>
      <c r="D214" s="5" t="inlineStr">
        <is>
          <t xml:space="preserve">F:C-03</t>
        </is>
      </c>
      <c r="E214" s="5" t="inlineStr">
        <is>
          <t xml:space="preserve">Servicio de evidencia financiera</t>
        </is>
      </c>
      <c r="F214" s="5" t="inlineStr">
        <is>
          <t xml:space="preserve">Filial emisora</t>
        </is>
      </c>
      <c r="G214" s="4" t="inlineStr">
        <is>
          <t xml:space="preserve">1</t>
        </is>
      </c>
      <c r="H214" s="4" t="inlineStr">
        <is>
          <t xml:space="preserve">Alta</t>
        </is>
      </c>
      <c r="I214" s="5" t="inlineStr">
        <is>
          <t xml:space="preserve">Filial emisora</t>
        </is>
      </c>
      <c r="J214" s="5" t="inlineStr">
        <is>
          <t xml:space="preserve">—</t>
        </is>
      </c>
      <c r="K214" s="5" t="inlineStr">
        <is>
          <t xml:space="preserve">—</t>
        </is>
      </c>
      <c r="L214" s="5" t="inlineStr">
        <is>
          <t xml:space="preserve">RN-34</t>
        </is>
      </c>
      <c r="M214" s="5" t="inlineStr">
        <is>
          <t xml:space="preserve"/>
        </is>
      </c>
      <c r="N214" s="5" t="inlineStr">
        <is>
          <t xml:space="preserve">—</t>
        </is>
      </c>
      <c r="O214" s="5" t="inlineStr">
        <is>
          <t xml:space="preserve">RF-022.7</t>
        </is>
      </c>
    </row>
    <row r="215">
      <c r="A215" s="5" t="inlineStr">
        <is>
          <t xml:space="preserve">RF-207</t>
        </is>
      </c>
      <c r="B215" s="4" t="inlineStr">
        <is>
          <t xml:space="preserve">RF</t>
        </is>
      </c>
      <c r="C215" s="5" t="inlineStr">
        <is>
          <t xml:space="preserve">El sistema deberá registrar la evidencia del consentimiento expreso e informado del cliente mediante un mecanismo verificable de integridad.</t>
        </is>
      </c>
      <c r="D215" s="5" t="inlineStr">
        <is>
          <t xml:space="preserve">F:C-03</t>
        </is>
      </c>
      <c r="E215" s="5" t="inlineStr">
        <is>
          <t xml:space="preserve">Servicio de evidencia financiera</t>
        </is>
      </c>
      <c r="F215" s="5" t="inlineStr">
        <is>
          <t xml:space="preserve">Filial emisora</t>
        </is>
      </c>
      <c r="G215" s="4" t="inlineStr">
        <is>
          <t xml:space="preserve">1</t>
        </is>
      </c>
      <c r="H215" s="4" t="inlineStr">
        <is>
          <t xml:space="preserve">Alta</t>
        </is>
      </c>
      <c r="I215" s="5" t="inlineStr">
        <is>
          <t xml:space="preserve">Filial emisora</t>
        </is>
      </c>
      <c r="J215" s="5" t="inlineStr">
        <is>
          <t xml:space="preserve">—</t>
        </is>
      </c>
      <c r="K215" s="5" t="inlineStr">
        <is>
          <t xml:space="preserve">—</t>
        </is>
      </c>
      <c r="L215" s="5" t="inlineStr">
        <is>
          <t xml:space="preserve">RN-40, RN-41</t>
        </is>
      </c>
      <c r="M215" s="5" t="inlineStr">
        <is>
          <t xml:space="preserve"/>
        </is>
      </c>
      <c r="N215" s="5" t="inlineStr">
        <is>
          <t xml:space="preserve">—</t>
        </is>
      </c>
      <c r="O215" s="5" t="inlineStr">
        <is>
          <t xml:space="preserve">RF-023.1</t>
        </is>
      </c>
    </row>
    <row r="216">
      <c r="A216" s="5" t="inlineStr">
        <is>
          <t xml:space="preserve">RF-208</t>
        </is>
      </c>
      <c r="B216" s="4" t="inlineStr">
        <is>
          <t xml:space="preserve">RF</t>
        </is>
      </c>
      <c r="C216" s="5" t="inlineStr">
        <is>
          <t xml:space="preserve">El sistema deberá impedir el registro de una modificacion de condiciones del crédito que no tenga evidencia de consentimiento asociada.</t>
        </is>
      </c>
      <c r="D216" s="5" t="inlineStr">
        <is>
          <t xml:space="preserve">F:C-03</t>
        </is>
      </c>
      <c r="E216" s="5" t="inlineStr">
        <is>
          <t xml:space="preserve">Servicio de evidencia financiera</t>
        </is>
      </c>
      <c r="F216" s="5" t="inlineStr">
        <is>
          <t xml:space="preserve">Filial emisora</t>
        </is>
      </c>
      <c r="G216" s="4" t="inlineStr">
        <is>
          <t xml:space="preserve">1</t>
        </is>
      </c>
      <c r="H216" s="4" t="inlineStr">
        <is>
          <t xml:space="preserve">Alta</t>
        </is>
      </c>
      <c r="I216" s="5" t="inlineStr">
        <is>
          <t xml:space="preserve">Filial emisora</t>
        </is>
      </c>
      <c r="J216" s="5" t="inlineStr">
        <is>
          <t xml:space="preserve">—</t>
        </is>
      </c>
      <c r="K216" s="5" t="inlineStr">
        <is>
          <t xml:space="preserve">—</t>
        </is>
      </c>
      <c r="L216" s="5" t="inlineStr">
        <is>
          <t xml:space="preserve">RN-40</t>
        </is>
      </c>
      <c r="M216" s="5" t="inlineStr">
        <is>
          <t xml:space="preserve"/>
        </is>
      </c>
      <c r="N216" s="5" t="inlineStr">
        <is>
          <t xml:space="preserve">—</t>
        </is>
      </c>
      <c r="O216" s="5" t="inlineStr">
        <is>
          <t xml:space="preserve">RF-023.2</t>
        </is>
      </c>
    </row>
    <row r="217">
      <c r="A217" s="5" t="inlineStr">
        <is>
          <t xml:space="preserve">RF-209</t>
        </is>
      </c>
      <c r="B217" s="4" t="inlineStr">
        <is>
          <t xml:space="preserve">RF</t>
        </is>
      </c>
      <c r="C217" s="5" t="inlineStr">
        <is>
          <t xml:space="preserve">El sistema deberá reconstruir el acto de consentimiento presentando que se informó, en que versión y que aceptó el cliente.</t>
        </is>
      </c>
      <c r="D217" s="5" t="inlineStr">
        <is>
          <t xml:space="preserve">F:C-03</t>
        </is>
      </c>
      <c r="E217" s="5" t="inlineStr">
        <is>
          <t xml:space="preserve">Servicio de evidencia financiera</t>
        </is>
      </c>
      <c r="F217" s="5" t="inlineStr">
        <is>
          <t xml:space="preserve">Filial emisora</t>
        </is>
      </c>
      <c r="G217" s="4" t="inlineStr">
        <is>
          <t xml:space="preserve">1</t>
        </is>
      </c>
      <c r="H217" s="4" t="inlineStr">
        <is>
          <t xml:space="preserve">Alta</t>
        </is>
      </c>
      <c r="I217" s="5" t="inlineStr">
        <is>
          <t xml:space="preserve">Filial emisora</t>
        </is>
      </c>
      <c r="J217" s="5" t="inlineStr">
        <is>
          <t xml:space="preserve">—</t>
        </is>
      </c>
      <c r="K217" s="5" t="inlineStr">
        <is>
          <t xml:space="preserve">—</t>
        </is>
      </c>
      <c r="L217" s="5" t="inlineStr">
        <is>
          <t xml:space="preserve">RN-41, RN-35</t>
        </is>
      </c>
      <c r="M217" s="5" t="inlineStr">
        <is>
          <t xml:space="preserve"/>
        </is>
      </c>
      <c r="N217" s="5" t="inlineStr">
        <is>
          <t xml:space="preserve">—</t>
        </is>
      </c>
      <c r="O217" s="5" t="inlineStr">
        <is>
          <t xml:space="preserve">RF-023.3</t>
        </is>
      </c>
    </row>
    <row r="218">
      <c r="A218" s="5" t="inlineStr">
        <is>
          <t xml:space="preserve">RF-210</t>
        </is>
      </c>
      <c r="B218" s="4" t="inlineStr">
        <is>
          <t xml:space="preserve">RF</t>
        </is>
      </c>
      <c r="C218" s="5" t="inlineStr">
        <is>
          <t xml:space="preserve">El sistema deberá restaurar desde archivo frío los antecedentes de una operación de crédito de cualquier cohorte dentro del plazo de conservación.</t>
        </is>
      </c>
      <c r="D218" s="5" t="inlineStr">
        <is>
          <t xml:space="preserve">F:C-03</t>
        </is>
      </c>
      <c r="E218" s="5" t="inlineStr">
        <is>
          <t xml:space="preserve">Servicio de evidencia financiera</t>
        </is>
      </c>
      <c r="F218" s="5" t="inlineStr">
        <is>
          <t xml:space="preserve">Filial emisora</t>
        </is>
      </c>
      <c r="G218" s="4" t="inlineStr">
        <is>
          <t xml:space="preserve">1</t>
        </is>
      </c>
      <c r="H218" s="4" t="inlineStr">
        <is>
          <t xml:space="preserve">Alta</t>
        </is>
      </c>
      <c r="I218" s="5" t="inlineStr">
        <is>
          <t xml:space="preserve">Filial emisora</t>
        </is>
      </c>
      <c r="J218" s="5" t="inlineStr">
        <is>
          <t xml:space="preserve">—</t>
        </is>
      </c>
      <c r="K218" s="5" t="inlineStr">
        <is>
          <t xml:space="preserve">—</t>
        </is>
      </c>
      <c r="L218" s="5" t="inlineStr">
        <is>
          <t xml:space="preserve">RN-36</t>
        </is>
      </c>
      <c r="M218" s="5" t="inlineStr">
        <is>
          <t xml:space="preserve">Recuperar los antecedentes de una operación de crédito es función de la evidencia financiera.</t>
        </is>
      </c>
      <c r="N218" s="5" t="inlineStr">
        <is>
          <t xml:space="preserve">—</t>
        </is>
      </c>
      <c r="O218" s="5" t="inlineStr">
        <is>
          <t xml:space="preserve">RF-023.4</t>
        </is>
      </c>
    </row>
    <row r="219">
      <c r="A219" s="5" t="inlineStr">
        <is>
          <t xml:space="preserve">RF-211</t>
        </is>
      </c>
      <c r="B219" s="4" t="inlineStr">
        <is>
          <t xml:space="preserve">RF</t>
        </is>
      </c>
      <c r="C219" s="5" t="inlineStr">
        <is>
          <t xml:space="preserve">El sistema debe permitir al ejecutivo de cobranza iniciar una gestión de cobranza.</t>
        </is>
      </c>
      <c r="D219" s="5" t="inlineStr">
        <is>
          <t xml:space="preserve">F:C-02</t>
        </is>
      </c>
      <c r="E219" s="5" t="inlineStr">
        <is>
          <t xml:space="preserve">Servicio de cartera de crédito</t>
        </is>
      </c>
      <c r="F219" s="5" t="inlineStr">
        <is>
          <t xml:space="preserve">Filial emisora</t>
        </is>
      </c>
      <c r="G219" s="4" t="inlineStr">
        <is>
          <t xml:space="preserve">1 y 2</t>
        </is>
      </c>
      <c r="H219" s="4" t="inlineStr">
        <is>
          <t xml:space="preserve">Alta</t>
        </is>
      </c>
      <c r="I219" s="5" t="inlineStr">
        <is>
          <t xml:space="preserve">Filial emisora</t>
        </is>
      </c>
      <c r="J219" s="5" t="inlineStr">
        <is>
          <t xml:space="preserve">—</t>
        </is>
      </c>
      <c r="K219" s="5" t="inlineStr">
        <is>
          <t xml:space="preserve">—</t>
        </is>
      </c>
      <c r="L219" s="5" t="inlineStr">
        <is>
          <t xml:space="preserve">RN-40</t>
        </is>
      </c>
      <c r="M219" s="5" t="inlineStr">
        <is>
          <t xml:space="preserve"/>
        </is>
      </c>
      <c r="N219" s="5" t="inlineStr">
        <is>
          <t xml:space="preserve">RF-024A</t>
        </is>
      </c>
      <c r="O219" s="5" t="inlineStr">
        <is>
          <t xml:space="preserve">RF-024Aa</t>
        </is>
      </c>
    </row>
    <row r="220">
      <c r="A220" s="5" t="inlineStr">
        <is>
          <t xml:space="preserve">RF-212</t>
        </is>
      </c>
      <c r="B220" s="4" t="inlineStr">
        <is>
          <t xml:space="preserve">RF</t>
        </is>
      </c>
      <c r="C220" s="5" t="inlineStr">
        <is>
          <t xml:space="preserve">El sistema debe registrar la gestión de cobranza ejecutada con su medio, su instante y su ejecutor.</t>
        </is>
      </c>
      <c r="D220" s="5" t="inlineStr">
        <is>
          <t xml:space="preserve">F:C-02</t>
        </is>
      </c>
      <c r="E220" s="5" t="inlineStr">
        <is>
          <t xml:space="preserve">Servicio de cartera de crédito</t>
        </is>
      </c>
      <c r="F220" s="5" t="inlineStr">
        <is>
          <t xml:space="preserve">Filial emisora</t>
        </is>
      </c>
      <c r="G220" s="4" t="inlineStr">
        <is>
          <t xml:space="preserve">1 y 2</t>
        </is>
      </c>
      <c r="H220" s="4" t="inlineStr">
        <is>
          <t xml:space="preserve">Alta</t>
        </is>
      </c>
      <c r="I220" s="5" t="inlineStr">
        <is>
          <t xml:space="preserve">Filial emisora</t>
        </is>
      </c>
      <c r="J220" s="5" t="inlineStr">
        <is>
          <t xml:space="preserve">—</t>
        </is>
      </c>
      <c r="K220" s="5" t="inlineStr">
        <is>
          <t xml:space="preserve">—</t>
        </is>
      </c>
      <c r="L220" s="5" t="inlineStr">
        <is>
          <t xml:space="preserve">RN-40</t>
        </is>
      </c>
      <c r="M220" s="5" t="inlineStr">
        <is>
          <t xml:space="preserve"/>
        </is>
      </c>
      <c r="N220" s="5" t="inlineStr">
        <is>
          <t xml:space="preserve">RF-024A</t>
        </is>
      </c>
      <c r="O220" s="5" t="inlineStr">
        <is>
          <t xml:space="preserve">RF-024Ab</t>
        </is>
      </c>
    </row>
    <row r="221">
      <c r="A221" s="5" t="inlineStr">
        <is>
          <t xml:space="preserve">RF-213</t>
        </is>
      </c>
      <c r="B221" s="4" t="inlineStr">
        <is>
          <t xml:space="preserve">RF</t>
        </is>
      </c>
      <c r="C221" s="5" t="inlineStr">
        <is>
          <t xml:space="preserve">El sistema debe impedir la ejecución de una gestión de cobranza fuera de los límites normativos de horario y de medio de contacto.</t>
        </is>
      </c>
      <c r="D221" s="5" t="inlineStr">
        <is>
          <t xml:space="preserve">F:C-02</t>
        </is>
      </c>
      <c r="E221" s="5" t="inlineStr">
        <is>
          <t xml:space="preserve">Servicio de cartera de crédito</t>
        </is>
      </c>
      <c r="F221" s="5" t="inlineStr">
        <is>
          <t xml:space="preserve">Filial emisora</t>
        </is>
      </c>
      <c r="G221" s="4" t="inlineStr">
        <is>
          <t xml:space="preserve">1 y 2</t>
        </is>
      </c>
      <c r="H221" s="4" t="inlineStr">
        <is>
          <t xml:space="preserve">Alta</t>
        </is>
      </c>
      <c r="I221" s="5" t="inlineStr">
        <is>
          <t xml:space="preserve">Filial emisora</t>
        </is>
      </c>
      <c r="J221" s="5" t="inlineStr">
        <is>
          <t xml:space="preserve">—</t>
        </is>
      </c>
      <c r="K221" s="5" t="inlineStr">
        <is>
          <t xml:space="preserve">—</t>
        </is>
      </c>
      <c r="L221" s="5" t="inlineStr">
        <is>
          <t xml:space="preserve">RN-40</t>
        </is>
      </c>
      <c r="M221" s="5" t="inlineStr">
        <is>
          <t xml:space="preserve"/>
        </is>
      </c>
      <c r="N221" s="5" t="inlineStr">
        <is>
          <t xml:space="preserve">RF-024A</t>
        </is>
      </c>
      <c r="O221" s="5" t="inlineStr">
        <is>
          <t xml:space="preserve">RF-024Ac</t>
        </is>
      </c>
    </row>
    <row r="222">
      <c r="A222" s="5" t="inlineStr">
        <is>
          <t xml:space="preserve">RF-214</t>
        </is>
      </c>
      <c r="B222" s="4" t="inlineStr">
        <is>
          <t xml:space="preserve">RF</t>
        </is>
      </c>
      <c r="C222" s="5" t="inlineStr">
        <is>
          <t xml:space="preserve">El sistema debe enlazar el expediente de la repactación con la gestión de cobranza que la originó.</t>
        </is>
      </c>
      <c r="D222" s="5" t="inlineStr">
        <is>
          <t xml:space="preserve">F:C-03</t>
        </is>
      </c>
      <c r="E222" s="5" t="inlineStr">
        <is>
          <t xml:space="preserve">Servicio de evidencia financiera</t>
        </is>
      </c>
      <c r="F222" s="5" t="inlineStr">
        <is>
          <t xml:space="preserve">Filial emisora</t>
        </is>
      </c>
      <c r="G222" s="4" t="inlineStr">
        <is>
          <t xml:space="preserve">1</t>
        </is>
      </c>
      <c r="H222" s="4" t="inlineStr">
        <is>
          <t xml:space="preserve">Alta</t>
        </is>
      </c>
      <c r="I222" s="5" t="inlineStr">
        <is>
          <t xml:space="preserve">Filial emisora</t>
        </is>
      </c>
      <c r="J222" s="5" t="inlineStr">
        <is>
          <t xml:space="preserve">—</t>
        </is>
      </c>
      <c r="K222" s="5" t="inlineStr">
        <is>
          <t xml:space="preserve">—</t>
        </is>
      </c>
      <c r="L222" s="5" t="inlineStr">
        <is>
          <t xml:space="preserve">RN-40, RN-41</t>
        </is>
      </c>
      <c r="M222" s="5" t="inlineStr">
        <is>
          <t xml:space="preserve"/>
        </is>
      </c>
      <c r="N222" s="5" t="inlineStr">
        <is>
          <t xml:space="preserve">RF-024B</t>
        </is>
      </c>
      <c r="O222" s="5" t="inlineStr">
        <is>
          <t xml:space="preserve">RF-024Ba</t>
        </is>
      </c>
    </row>
    <row r="223">
      <c r="A223" s="5" t="inlineStr">
        <is>
          <t xml:space="preserve">RF-215</t>
        </is>
      </c>
      <c r="B223" s="4" t="inlineStr">
        <is>
          <t xml:space="preserve">RF</t>
        </is>
      </c>
      <c r="C223" s="5" t="inlineStr">
        <is>
          <t xml:space="preserve">El sistema debe enlazar el expediente de la repactación con la evidencia de consentimiento registrada en RF-207.</t>
        </is>
      </c>
      <c r="D223" s="5" t="inlineStr">
        <is>
          <t xml:space="preserve">F:C-03</t>
        </is>
      </c>
      <c r="E223" s="5" t="inlineStr">
        <is>
          <t xml:space="preserve">Servicio de evidencia financiera</t>
        </is>
      </c>
      <c r="F223" s="5" t="inlineStr">
        <is>
          <t xml:space="preserve">Filial emisora</t>
        </is>
      </c>
      <c r="G223" s="4" t="inlineStr">
        <is>
          <t xml:space="preserve">1</t>
        </is>
      </c>
      <c r="H223" s="4" t="inlineStr">
        <is>
          <t xml:space="preserve">Alta</t>
        </is>
      </c>
      <c r="I223" s="5" t="inlineStr">
        <is>
          <t xml:space="preserve">Filial emisora</t>
        </is>
      </c>
      <c r="J223" s="5" t="inlineStr">
        <is>
          <t xml:space="preserve">—</t>
        </is>
      </c>
      <c r="K223" s="5" t="inlineStr">
        <is>
          <t xml:space="preserve">—</t>
        </is>
      </c>
      <c r="L223" s="5" t="inlineStr">
        <is>
          <t xml:space="preserve">RN-40, RN-41</t>
        </is>
      </c>
      <c r="M223" s="5" t="inlineStr">
        <is>
          <t xml:space="preserve"/>
        </is>
      </c>
      <c r="N223" s="5" t="inlineStr">
        <is>
          <t xml:space="preserve">RF-024B</t>
        </is>
      </c>
      <c r="O223" s="5" t="inlineStr">
        <is>
          <t xml:space="preserve">RF-024Bb</t>
        </is>
      </c>
    </row>
    <row r="224">
      <c r="A224" s="5" t="inlineStr">
        <is>
          <t xml:space="preserve">RF-216</t>
        </is>
      </c>
      <c r="B224" s="4" t="inlineStr">
        <is>
          <t xml:space="preserve">RF</t>
        </is>
      </c>
      <c r="C224" s="5" t="inlineStr">
        <is>
          <t xml:space="preserve">El sistema deberá generar un reporte de conciliación diaria de saldos durante todo el proceso de migración.</t>
        </is>
      </c>
      <c r="D224" s="5" t="inlineStr">
        <is>
          <t xml:space="preserve">F:C-02</t>
        </is>
      </c>
      <c r="E224" s="5" t="inlineStr">
        <is>
          <t xml:space="preserve">Servicio de cartera de crédito</t>
        </is>
      </c>
      <c r="F224" s="5" t="inlineStr">
        <is>
          <t xml:space="preserve">Filial emisora</t>
        </is>
      </c>
      <c r="G224" s="4" t="inlineStr">
        <is>
          <t xml:space="preserve">1 y 2</t>
        </is>
      </c>
      <c r="H224" s="4" t="inlineStr">
        <is>
          <t xml:space="preserve">Alta</t>
        </is>
      </c>
      <c r="I224" s="5" t="inlineStr">
        <is>
          <t xml:space="preserve">Filial emisora</t>
        </is>
      </c>
      <c r="J224" s="5" t="inlineStr">
        <is>
          <t xml:space="preserve">—</t>
        </is>
      </c>
      <c r="K224" s="5" t="inlineStr">
        <is>
          <t xml:space="preserve">—</t>
        </is>
      </c>
      <c r="L224" s="5" t="inlineStr">
        <is>
          <t xml:space="preserve">RN-58</t>
        </is>
      </c>
      <c r="M224" s="5" t="inlineStr">
        <is>
          <t xml:space="preserve"/>
        </is>
      </c>
      <c r="N224" s="5" t="inlineStr">
        <is>
          <t xml:space="preserve">—</t>
        </is>
      </c>
      <c r="O224" s="5" t="inlineStr">
        <is>
          <t xml:space="preserve">RF-033</t>
        </is>
      </c>
    </row>
    <row r="225">
      <c r="A225" s="5" t="inlineStr">
        <is>
          <t xml:space="preserve">RF-217</t>
        </is>
      </c>
      <c r="B225" s="4" t="inlineStr">
        <is>
          <t xml:space="preserve">RF</t>
        </is>
      </c>
      <c r="C225" s="5" t="inlineStr">
        <is>
          <t xml:space="preserve">El sistema deberá permitir al cliente no autenticado consultar la información precontractual del crédito.</t>
        </is>
      </c>
      <c r="D225" s="5" t="inlineStr">
        <is>
          <t xml:space="preserve">F:C-03</t>
        </is>
      </c>
      <c r="E225" s="5" t="inlineStr">
        <is>
          <t xml:space="preserve">Servicio de evidencia financiera</t>
        </is>
      </c>
      <c r="F225" s="5" t="inlineStr">
        <is>
          <t xml:space="preserve">Filial emisora</t>
        </is>
      </c>
      <c r="G225" s="4" t="inlineStr">
        <is>
          <t xml:space="preserve">1</t>
        </is>
      </c>
      <c r="H225" s="4" t="inlineStr">
        <is>
          <t xml:space="preserve">Alta</t>
        </is>
      </c>
      <c r="I225" s="5" t="inlineStr">
        <is>
          <t xml:space="preserve">Filial emisora</t>
        </is>
      </c>
      <c r="J225" s="5" t="inlineStr">
        <is>
          <t xml:space="preserve">—</t>
        </is>
      </c>
      <c r="K225" s="5" t="inlineStr">
        <is>
          <t xml:space="preserve">—</t>
        </is>
      </c>
      <c r="L225" s="5" t="inlineStr">
        <is>
          <t xml:space="preserve">RN-34</t>
        </is>
      </c>
      <c r="M225" s="5" t="inlineStr">
        <is>
          <t xml:space="preserve"/>
        </is>
      </c>
      <c r="N225" s="5" t="inlineStr">
        <is>
          <t xml:space="preserve">—</t>
        </is>
      </c>
      <c r="O225" s="5" t="inlineStr">
        <is>
          <t xml:space="preserve">RF-036B</t>
        </is>
      </c>
    </row>
    <row r="226">
      <c r="A226" s="5" t="inlineStr">
        <is>
          <t xml:space="preserve">RF-218</t>
        </is>
      </c>
      <c r="B226" s="4" t="inlineStr">
        <is>
          <t xml:space="preserve">RF</t>
        </is>
      </c>
      <c r="C226" s="5" t="inlineStr">
        <is>
          <t xml:space="preserve">El sistema deberá permitir al cliente no autenticado utilizar un simulador de costo total del crédito.</t>
        </is>
      </c>
      <c r="D226" s="5" t="inlineStr">
        <is>
          <t xml:space="preserve">F:C-01</t>
        </is>
      </c>
      <c r="E226" s="5" t="inlineStr">
        <is>
          <t xml:space="preserve">Servicio de originación de crédito</t>
        </is>
      </c>
      <c r="F226" s="5" t="inlineStr">
        <is>
          <t xml:space="preserve">Filial emisora</t>
        </is>
      </c>
      <c r="G226" s="4" t="inlineStr">
        <is>
          <t xml:space="preserve">1</t>
        </is>
      </c>
      <c r="H226" s="4" t="inlineStr">
        <is>
          <t xml:space="preserve">Alta</t>
        </is>
      </c>
      <c r="I226" s="5" t="inlineStr">
        <is>
          <t xml:space="preserve">Filial emisora</t>
        </is>
      </c>
      <c r="J226" s="5" t="inlineStr">
        <is>
          <t xml:space="preserve">—</t>
        </is>
      </c>
      <c r="K226" s="5" t="inlineStr">
        <is>
          <t xml:space="preserve">—</t>
        </is>
      </c>
      <c r="L226" s="5" t="inlineStr">
        <is>
          <t xml:space="preserve">RN-34, RN-37</t>
        </is>
      </c>
      <c r="M226" s="5" t="inlineStr">
        <is>
          <t xml:space="preserve"/>
        </is>
      </c>
      <c r="N226" s="5" t="inlineStr">
        <is>
          <t xml:space="preserve">—</t>
        </is>
      </c>
      <c r="O226" s="5" t="inlineStr">
        <is>
          <t xml:space="preserve">RF-036C</t>
        </is>
      </c>
    </row>
    <row r="227">
      <c r="A227" s="5" t="inlineStr">
        <is>
          <t xml:space="preserve">RF-219</t>
        </is>
      </c>
      <c r="B227" s="4" t="inlineStr">
        <is>
          <t xml:space="preserve">RF</t>
        </is>
      </c>
      <c r="C227" s="5" t="inlineStr">
        <is>
          <t xml:space="preserve">El sistema deberá mantener cargada la Tasa Máxima Convencional vigente por tipo y tramo de operación, con su fecha de vigencia.</t>
        </is>
      </c>
      <c r="D227" s="5" t="inlineStr">
        <is>
          <t xml:space="preserve">F:C-01</t>
        </is>
      </c>
      <c r="E227" s="5" t="inlineStr">
        <is>
          <t xml:space="preserve">Servicio de originación de crédito</t>
        </is>
      </c>
      <c r="F227" s="5" t="inlineStr">
        <is>
          <t xml:space="preserve">Filial emisora</t>
        </is>
      </c>
      <c r="G227" s="4" t="inlineStr">
        <is>
          <t xml:space="preserve">1</t>
        </is>
      </c>
      <c r="H227" s="4" t="inlineStr">
        <is>
          <t xml:space="preserve">Alta</t>
        </is>
      </c>
      <c r="I227" s="5" t="inlineStr">
        <is>
          <t xml:space="preserve">Filial emisora</t>
        </is>
      </c>
      <c r="J227" s="5" t="inlineStr">
        <is>
          <t xml:space="preserve">—</t>
        </is>
      </c>
      <c r="K227" s="5" t="inlineStr">
        <is>
          <t xml:space="preserve">—</t>
        </is>
      </c>
      <c r="L227" s="5" t="inlineStr">
        <is>
          <t xml:space="preserve">RN-37</t>
        </is>
      </c>
      <c r="M227" s="5" t="inlineStr">
        <is>
          <t xml:space="preserve">Parte de la evaluación y autorización del crédito.</t>
        </is>
      </c>
      <c r="N227" s="5" t="inlineStr">
        <is>
          <t xml:space="preserve">—</t>
        </is>
      </c>
      <c r="O227" s="5" t="inlineStr">
        <is>
          <t xml:space="preserve">RF-093</t>
        </is>
      </c>
    </row>
    <row r="228">
      <c r="A228" s="5" t="inlineStr">
        <is>
          <t xml:space="preserve">RF-220</t>
        </is>
      </c>
      <c r="B228" s="4" t="inlineStr">
        <is>
          <t xml:space="preserve">RF</t>
        </is>
      </c>
      <c r="C228" s="5" t="inlineStr">
        <is>
          <t xml:space="preserve">El sistema deberá impedir la originación de una operación cuya tasa supere la Tasa Máxima Convencional vigente a la fecha de la operación.</t>
        </is>
      </c>
      <c r="D228" s="5" t="inlineStr">
        <is>
          <t xml:space="preserve">F:C-01</t>
        </is>
      </c>
      <c r="E228" s="5" t="inlineStr">
        <is>
          <t xml:space="preserve">Servicio de originación de crédito</t>
        </is>
      </c>
      <c r="F228" s="5" t="inlineStr">
        <is>
          <t xml:space="preserve">Filial emisora</t>
        </is>
      </c>
      <c r="G228" s="4" t="inlineStr">
        <is>
          <t xml:space="preserve">1</t>
        </is>
      </c>
      <c r="H228" s="4" t="inlineStr">
        <is>
          <t xml:space="preserve">Alta</t>
        </is>
      </c>
      <c r="I228" s="5" t="inlineStr">
        <is>
          <t xml:space="preserve">Filial emisora</t>
        </is>
      </c>
      <c r="J228" s="5" t="inlineStr">
        <is>
          <t xml:space="preserve">—</t>
        </is>
      </c>
      <c r="K228" s="5" t="inlineStr">
        <is>
          <t xml:space="preserve">—</t>
        </is>
      </c>
      <c r="L228" s="5" t="inlineStr">
        <is>
          <t xml:space="preserve">RN-37</t>
        </is>
      </c>
      <c r="M228" s="5" t="inlineStr">
        <is>
          <t xml:space="preserve"/>
        </is>
      </c>
      <c r="N228" s="5" t="inlineStr">
        <is>
          <t xml:space="preserve">—</t>
        </is>
      </c>
      <c r="O228" s="5" t="inlineStr">
        <is>
          <t xml:space="preserve">RF-094</t>
        </is>
      </c>
    </row>
    <row r="229">
      <c r="A229" s="5" t="inlineStr">
        <is>
          <t xml:space="preserve">RF-221</t>
        </is>
      </c>
      <c r="B229" s="4" t="inlineStr">
        <is>
          <t xml:space="preserve">RF</t>
        </is>
      </c>
      <c r="C229" s="5" t="inlineStr">
        <is>
          <t xml:space="preserve">El sistema deberá determinar el cupo exclusivamente a partir de las variables de la evaluación de capacidad de pago documentada.</t>
        </is>
      </c>
      <c r="D229" s="5" t="inlineStr">
        <is>
          <t xml:space="preserve">F:C-01</t>
        </is>
      </c>
      <c r="E229" s="5" t="inlineStr">
        <is>
          <t xml:space="preserve">Servicio de originación de crédito</t>
        </is>
      </c>
      <c r="F229" s="5" t="inlineStr">
        <is>
          <t xml:space="preserve">Filial emisora</t>
        </is>
      </c>
      <c r="G229" s="4" t="inlineStr">
        <is>
          <t xml:space="preserve">1</t>
        </is>
      </c>
      <c r="H229" s="4" t="inlineStr">
        <is>
          <t xml:space="preserve">Alta</t>
        </is>
      </c>
      <c r="I229" s="5" t="inlineStr">
        <is>
          <t xml:space="preserve">Filial emisora</t>
        </is>
      </c>
      <c r="J229" s="5" t="inlineStr">
        <is>
          <t xml:space="preserve">—</t>
        </is>
      </c>
      <c r="K229" s="5" t="inlineStr">
        <is>
          <t xml:space="preserve">—</t>
        </is>
      </c>
      <c r="L229" s="5" t="inlineStr">
        <is>
          <t xml:space="preserve">RN-38</t>
        </is>
      </c>
      <c r="M229" s="5" t="inlineStr">
        <is>
          <t xml:space="preserve">Determinar el cupo es parte de la evaluación de la originación, igual que RF-218 a RF-220.</t>
        </is>
      </c>
      <c r="N229" s="5" t="inlineStr">
        <is>
          <t xml:space="preserve">—</t>
        </is>
      </c>
      <c r="O229" s="5" t="inlineStr">
        <is>
          <t xml:space="preserve">RF-095</t>
        </is>
      </c>
    </row>
    <row r="230">
      <c r="A230" s="5" t="inlineStr">
        <is>
          <t xml:space="preserve">RF-222</t>
        </is>
      </c>
      <c r="B230" s="4" t="inlineStr">
        <is>
          <t xml:space="preserve">RF</t>
        </is>
      </c>
      <c r="C230" s="5" t="inlineStr">
        <is>
          <t xml:space="preserve">El sistema deberá excluir el monto de la venta en curso del conjunto de variables de asignación de cupo.</t>
        </is>
      </c>
      <c r="D230" s="5" t="inlineStr">
        <is>
          <t xml:space="preserve">F:C-01</t>
        </is>
      </c>
      <c r="E230" s="5" t="inlineStr">
        <is>
          <t xml:space="preserve">Servicio de originación de crédito</t>
        </is>
      </c>
      <c r="F230" s="5" t="inlineStr">
        <is>
          <t xml:space="preserve">Filial emisora</t>
        </is>
      </c>
      <c r="G230" s="4" t="inlineStr">
        <is>
          <t xml:space="preserve">1</t>
        </is>
      </c>
      <c r="H230" s="4" t="inlineStr">
        <is>
          <t xml:space="preserve">Alta</t>
        </is>
      </c>
      <c r="I230" s="5" t="inlineStr">
        <is>
          <t xml:space="preserve">Filial emisora</t>
        </is>
      </c>
      <c r="J230" s="5" t="inlineStr">
        <is>
          <t xml:space="preserve">—</t>
        </is>
      </c>
      <c r="K230" s="5" t="inlineStr">
        <is>
          <t xml:space="preserve">—</t>
        </is>
      </c>
      <c r="L230" s="5" t="inlineStr">
        <is>
          <t xml:space="preserve">RN-38</t>
        </is>
      </c>
      <c r="M230" s="5" t="inlineStr">
        <is>
          <t xml:space="preserve"/>
        </is>
      </c>
      <c r="N230" s="5" t="inlineStr">
        <is>
          <t xml:space="preserve">—</t>
        </is>
      </c>
      <c r="O230" s="5" t="inlineStr">
        <is>
          <t xml:space="preserve">RF-096</t>
        </is>
      </c>
    </row>
    <row r="231">
      <c r="A231" s="5" t="inlineStr">
        <is>
          <t xml:space="preserve">RF-223</t>
        </is>
      </c>
      <c r="B231" s="4" t="inlineStr">
        <is>
          <t xml:space="preserve">RF</t>
        </is>
      </c>
      <c r="C231" s="5" t="inlineStr">
        <is>
          <t xml:space="preserve">El sistema deberá excluir la solicitud del vendedor del conjunto de variables de asignación de cupo.</t>
        </is>
      </c>
      <c r="D231" s="5" t="inlineStr">
        <is>
          <t xml:space="preserve">F:C-01</t>
        </is>
      </c>
      <c r="E231" s="5" t="inlineStr">
        <is>
          <t xml:space="preserve">Servicio de originación de crédito</t>
        </is>
      </c>
      <c r="F231" s="5" t="inlineStr">
        <is>
          <t xml:space="preserve">Filial emisora</t>
        </is>
      </c>
      <c r="G231" s="4" t="inlineStr">
        <is>
          <t xml:space="preserve">1</t>
        </is>
      </c>
      <c r="H231" s="4" t="inlineStr">
        <is>
          <t xml:space="preserve">Alta</t>
        </is>
      </c>
      <c r="I231" s="5" t="inlineStr">
        <is>
          <t xml:space="preserve">Filial emisora</t>
        </is>
      </c>
      <c r="J231" s="5" t="inlineStr">
        <is>
          <t xml:space="preserve">—</t>
        </is>
      </c>
      <c r="K231" s="5" t="inlineStr">
        <is>
          <t xml:space="preserve">—</t>
        </is>
      </c>
      <c r="L231" s="5" t="inlineStr">
        <is>
          <t xml:space="preserve">RN-38, RN-39</t>
        </is>
      </c>
      <c r="M231" s="5" t="inlineStr">
        <is>
          <t xml:space="preserve"/>
        </is>
      </c>
      <c r="N231" s="5" t="inlineStr">
        <is>
          <t xml:space="preserve">—</t>
        </is>
      </c>
      <c r="O231" s="5" t="inlineStr">
        <is>
          <t xml:space="preserve">RF-097</t>
        </is>
      </c>
    </row>
    <row r="232">
      <c r="A232" s="5" t="inlineStr">
        <is>
          <t xml:space="preserve">RF-224</t>
        </is>
      </c>
      <c r="B232" s="4" t="inlineStr">
        <is>
          <t xml:space="preserve">RF</t>
        </is>
      </c>
      <c r="C232" s="5" t="inlineStr">
        <is>
          <t xml:space="preserve">El sistema deberá impedir al vendedor alterar el resultado de una evaluación crediticia.</t>
        </is>
      </c>
      <c r="D232" s="5" t="inlineStr">
        <is>
          <t xml:space="preserve">F:C-01</t>
        </is>
      </c>
      <c r="E232" s="5" t="inlineStr">
        <is>
          <t xml:space="preserve">Servicio de originación de crédito</t>
        </is>
      </c>
      <c r="F232" s="5" t="inlineStr">
        <is>
          <t xml:space="preserve">Filial emisora</t>
        </is>
      </c>
      <c r="G232" s="4" t="inlineStr">
        <is>
          <t xml:space="preserve">1</t>
        </is>
      </c>
      <c r="H232" s="4" t="inlineStr">
        <is>
          <t xml:space="preserve">Alta</t>
        </is>
      </c>
      <c r="I232" s="5" t="inlineStr">
        <is>
          <t xml:space="preserve">Filial emisora</t>
        </is>
      </c>
      <c r="J232" s="5" t="inlineStr">
        <is>
          <t xml:space="preserve">—</t>
        </is>
      </c>
      <c r="K232" s="5" t="inlineStr">
        <is>
          <t xml:space="preserve">—</t>
        </is>
      </c>
      <c r="L232" s="5" t="inlineStr">
        <is>
          <t xml:space="preserve">RN-39</t>
        </is>
      </c>
      <c r="M232" s="5" t="inlineStr">
        <is>
          <t xml:space="preserve"/>
        </is>
      </c>
      <c r="N232" s="5" t="inlineStr">
        <is>
          <t xml:space="preserve">—</t>
        </is>
      </c>
      <c r="O232" s="5" t="inlineStr">
        <is>
          <t xml:space="preserve">RF-098</t>
        </is>
      </c>
    </row>
    <row r="233">
      <c r="A233" s="5" t="inlineStr">
        <is>
          <t xml:space="preserve">RF-225</t>
        </is>
      </c>
      <c r="B233" s="4" t="inlineStr">
        <is>
          <t xml:space="preserve">RF</t>
        </is>
      </c>
      <c r="C233" s="5" t="inlineStr">
        <is>
          <t xml:space="preserve">El sistema deberá impedir la repetición de la evaluación crediticia del mismo cliente dentro de la ventana de enfriamiento parametrizada.</t>
        </is>
      </c>
      <c r="D233" s="5" t="inlineStr">
        <is>
          <t xml:space="preserve">F:C-01</t>
        </is>
      </c>
      <c r="E233" s="5" t="inlineStr">
        <is>
          <t xml:space="preserve">Servicio de originación de crédito</t>
        </is>
      </c>
      <c r="F233" s="5" t="inlineStr">
        <is>
          <t xml:space="preserve">Filial emisora</t>
        </is>
      </c>
      <c r="G233" s="4" t="inlineStr">
        <is>
          <t xml:space="preserve">1</t>
        </is>
      </c>
      <c r="H233" s="4" t="inlineStr">
        <is>
          <t xml:space="preserve">Alta</t>
        </is>
      </c>
      <c r="I233" s="5" t="inlineStr">
        <is>
          <t xml:space="preserve">Filial emisora</t>
        </is>
      </c>
      <c r="J233" s="5" t="inlineStr">
        <is>
          <t xml:space="preserve">—</t>
        </is>
      </c>
      <c r="K233" s="5" t="inlineStr">
        <is>
          <t xml:space="preserve">—</t>
        </is>
      </c>
      <c r="L233" s="5" t="inlineStr">
        <is>
          <t xml:space="preserve">RN-39</t>
        </is>
      </c>
      <c r="M233" s="5" t="inlineStr">
        <is>
          <t xml:space="preserve"/>
        </is>
      </c>
      <c r="N233" s="5" t="inlineStr">
        <is>
          <t xml:space="preserve">—</t>
        </is>
      </c>
      <c r="O233" s="5" t="inlineStr">
        <is>
          <t xml:space="preserve">RF-099</t>
        </is>
      </c>
    </row>
    <row r="234">
      <c r="A234" s="5" t="inlineStr">
        <is>
          <t xml:space="preserve">RF-226</t>
        </is>
      </c>
      <c r="B234" s="4" t="inlineStr">
        <is>
          <t xml:space="preserve">RF</t>
        </is>
      </c>
      <c r="C234" s="5" t="inlineStr">
        <is>
          <t xml:space="preserve">El sistema deberá registrar cada intento de evaluación con la identidad del solicitante y el resultado obtenido.</t>
        </is>
      </c>
      <c r="D234" s="5" t="inlineStr">
        <is>
          <t xml:space="preserve">F:C-01</t>
        </is>
      </c>
      <c r="E234" s="5" t="inlineStr">
        <is>
          <t xml:space="preserve">Servicio de originación de crédito</t>
        </is>
      </c>
      <c r="F234" s="5" t="inlineStr">
        <is>
          <t xml:space="preserve">Filial emisora</t>
        </is>
      </c>
      <c r="G234" s="4" t="inlineStr">
        <is>
          <t xml:space="preserve">1</t>
        </is>
      </c>
      <c r="H234" s="4" t="inlineStr">
        <is>
          <t xml:space="preserve">Alta</t>
        </is>
      </c>
      <c r="I234" s="5" t="inlineStr">
        <is>
          <t xml:space="preserve">Filial emisora</t>
        </is>
      </c>
      <c r="J234" s="5" t="inlineStr">
        <is>
          <t xml:space="preserve">—</t>
        </is>
      </c>
      <c r="K234" s="5" t="inlineStr">
        <is>
          <t xml:space="preserve">—</t>
        </is>
      </c>
      <c r="L234" s="5" t="inlineStr">
        <is>
          <t xml:space="preserve">RN-39</t>
        </is>
      </c>
      <c r="M234" s="5" t="inlineStr">
        <is>
          <t xml:space="preserve"/>
        </is>
      </c>
      <c r="N234" s="5" t="inlineStr">
        <is>
          <t xml:space="preserve">—</t>
        </is>
      </c>
      <c r="O234" s="5" t="inlineStr">
        <is>
          <t xml:space="preserve">RF-100</t>
        </is>
      </c>
    </row>
    <row r="235">
      <c r="A235" s="6" t="inlineStr">
        <is>
          <t xml:space="preserve">RNF-04</t>
        </is>
      </c>
      <c r="B235" s="4" t="inlineStr">
        <is>
          <t xml:space="preserve">RNF</t>
        </is>
      </c>
      <c r="C235" s="6" t="inlineStr">
        <is>
          <t xml:space="preserve">El estado de un pedido no debe presentar discrepancias entre canales de consulta.</t>
        </is>
      </c>
      <c r="D235" s="6" t="inlineStr">
        <is>
          <t xml:space="preserve">—</t>
        </is>
      </c>
      <c r="E235" s="6" t="inlineStr">
        <is>
          <t xml:space="preserve">Base tecnológica</t>
        </is>
      </c>
      <c r="F235" s="6" t="inlineStr">
        <is>
          <t xml:space="preserve">Ambos</t>
        </is>
      </c>
      <c r="G235" s="4" t="inlineStr">
        <is>
          <t xml:space="preserve">2</t>
        </is>
      </c>
      <c r="H235" s="4" t="inlineStr">
        <is>
          <t xml:space="preserve">Alta</t>
        </is>
      </c>
      <c r="I235" s="6" t="inlineStr">
        <is>
          <t xml:space="preserve">Retail</t>
        </is>
      </c>
      <c r="J235" s="6" t="inlineStr">
        <is>
          <t xml:space="preserve">0% de discrepancias en auditoría cruzada.</t>
        </is>
      </c>
      <c r="K235" s="6" t="inlineStr">
        <is>
          <t xml:space="preserve">Prueba de sincronización cruzada entre canales tras cada cambio de estado.</t>
        </is>
      </c>
      <c r="L235" s="6" t="inlineStr">
        <is>
          <t xml:space="preserve">RN-23, RN-28</t>
        </is>
      </c>
      <c r="M235" s="6" t="inlineStr">
        <is>
          <t xml:space="preserve">Mide el servicio de pedidos, de la Etapa 2.</t>
        </is>
      </c>
      <c r="N235" s="6" t="inlineStr">
        <is>
          <t xml:space="preserve">—</t>
        </is>
      </c>
      <c r="O235" s="6" t="inlineStr">
        <is>
          <t xml:space="preserve">NFR-01</t>
        </is>
      </c>
    </row>
    <row r="236">
      <c r="A236" s="6" t="inlineStr">
        <is>
          <t xml:space="preserve">RNF-05</t>
        </is>
      </c>
      <c r="B236" s="4" t="inlineStr">
        <is>
          <t xml:space="preserve">RNF</t>
        </is>
      </c>
      <c r="C236" s="6" t="inlineStr">
        <is>
          <t xml:space="preserve">La actualización del estado de un pedido debe reflejarse en todos los puntos de consulta dentro del plazo máximo definido.</t>
        </is>
      </c>
      <c r="D236" s="6" t="inlineStr">
        <is>
          <t xml:space="preserve">—</t>
        </is>
      </c>
      <c r="E236" s="6" t="inlineStr">
        <is>
          <t xml:space="preserve">Base tecnológica</t>
        </is>
      </c>
      <c r="F236" s="6" t="inlineStr">
        <is>
          <t xml:space="preserve">Ambos</t>
        </is>
      </c>
      <c r="G236" s="4" t="inlineStr">
        <is>
          <t xml:space="preserve">2</t>
        </is>
      </c>
      <c r="H236" s="4" t="inlineStr">
        <is>
          <t xml:space="preserve">Alta</t>
        </is>
      </c>
      <c r="I236" s="6" t="inlineStr">
        <is>
          <t xml:space="preserve">Retail</t>
        </is>
      </c>
      <c r="J236" s="6" t="inlineStr">
        <is>
          <t xml:space="preserve">Desfase máximo entre cambio real de estado y su reflejo en cualquier canal: POR DEFINIR (propuesta: 30 s).</t>
        </is>
      </c>
      <c r="K236" s="6" t="inlineStr">
        <is>
          <t xml:space="preserve">Medicion de latencia de propagación por canal.</t>
        </is>
      </c>
      <c r="L236" s="6" t="inlineStr">
        <is>
          <t xml:space="preserve">RN-23, RN-28</t>
        </is>
      </c>
      <c r="M236" s="6" t="inlineStr">
        <is>
          <t xml:space="preserve">Mide el servicio de pedidos, de la Etapa 2.</t>
        </is>
      </c>
      <c r="N236" s="6" t="inlineStr">
        <is>
          <t xml:space="preserve">—</t>
        </is>
      </c>
      <c r="O236" s="6" t="inlineStr">
        <is>
          <t xml:space="preserve">NFR-01.2</t>
        </is>
      </c>
    </row>
    <row r="237">
      <c r="A237" s="6" t="inlineStr">
        <is>
          <t xml:space="preserve">RNF-06</t>
        </is>
      </c>
      <c r="B237" s="4" t="inlineStr">
        <is>
          <t xml:space="preserve">RNF</t>
        </is>
      </c>
      <c r="C237" s="6" t="inlineStr">
        <is>
          <t xml:space="preserve">El tiempo de evaluación de una solicitud de crédito en el punto de venta físico no debe exceder el umbral objetivo.</t>
        </is>
      </c>
      <c r="D237" s="6" t="inlineStr">
        <is>
          <t xml:space="preserve">—</t>
        </is>
      </c>
      <c r="E237" s="6" t="inlineStr">
        <is>
          <t xml:space="preserve">Base tecnológica</t>
        </is>
      </c>
      <c r="F237" s="6" t="inlineStr">
        <is>
          <t xml:space="preserve">Ambos</t>
        </is>
      </c>
      <c r="G237" s="4" t="inlineStr">
        <is>
          <t xml:space="preserve">1</t>
        </is>
      </c>
      <c r="H237" s="4" t="inlineStr">
        <is>
          <t xml:space="preserve">Alta</t>
        </is>
      </c>
      <c r="I237" s="6" t="inlineStr">
        <is>
          <t xml:space="preserve">Filial emisora</t>
        </is>
      </c>
      <c r="J237" s="6" t="inlineStr">
        <is>
          <t xml:space="preserve">&lt;= 8 segundos.</t>
        </is>
      </c>
      <c r="K237" s="6" t="inlineStr">
        <is>
          <t xml:space="preserve">Prueba de tiempo de respuesta en punto de venta bajo carga representativa.</t>
        </is>
      </c>
      <c r="L237" s="6" t="inlineStr">
        <is>
          <t xml:space="preserve">RN-34</t>
        </is>
      </c>
      <c r="M237" s="6" t="inlineStr">
        <is>
          <t xml:space="preserve"/>
        </is>
      </c>
      <c r="N237" s="6" t="inlineStr">
        <is>
          <t xml:space="preserve">—</t>
        </is>
      </c>
      <c r="O237" s="6" t="inlineStr">
        <is>
          <t xml:space="preserve">NFR-02</t>
        </is>
      </c>
    </row>
    <row r="238">
      <c r="A238" s="6" t="inlineStr">
        <is>
          <t xml:space="preserve">RNF-07</t>
        </is>
      </c>
      <c r="B238" s="4" t="inlineStr">
        <is>
          <t xml:space="preserve">RNF</t>
        </is>
      </c>
      <c r="C238" s="6" t="inlineStr">
        <is>
          <t xml:space="preserve">El tiempo total de originación de crédito en el mesón, con información precontractual acreditada, no debe superar el tiempo del proceso actual.</t>
        </is>
      </c>
      <c r="D238" s="6" t="inlineStr">
        <is>
          <t xml:space="preserve">—</t>
        </is>
      </c>
      <c r="E238" s="6" t="inlineStr">
        <is>
          <t xml:space="preserve">Base tecnológica</t>
        </is>
      </c>
      <c r="F238" s="6" t="inlineStr">
        <is>
          <t xml:space="preserve">Ambos</t>
        </is>
      </c>
      <c r="G238" s="4" t="inlineStr">
        <is>
          <t xml:space="preserve">1</t>
        </is>
      </c>
      <c r="H238" s="4" t="inlineStr">
        <is>
          <t xml:space="preserve">Alta</t>
        </is>
      </c>
      <c r="I238" s="6" t="inlineStr">
        <is>
          <t xml:space="preserve">Filial emisora</t>
        </is>
      </c>
      <c r="J238" s="6" t="inlineStr">
        <is>
          <t xml:space="preserve">&lt;= 3 minutos (tiempo actual declarado en el caso).</t>
        </is>
      </c>
      <c r="K238" s="6" t="inlineStr">
        <is>
          <t xml:space="preserve">Medicion de tiempo de originación extremo a extremo en mesón, con y sin acreditación.</t>
        </is>
      </c>
      <c r="L238" s="6" t="inlineStr">
        <is>
          <t xml:space="preserve">RN-34</t>
        </is>
      </c>
      <c r="M238" s="6" t="inlineStr">
        <is>
          <t xml:space="preserve"/>
        </is>
      </c>
      <c r="N238" s="6" t="inlineStr">
        <is>
          <t xml:space="preserve">—</t>
        </is>
      </c>
      <c r="O238" s="6" t="inlineStr">
        <is>
          <t xml:space="preserve">NFR-21</t>
        </is>
      </c>
    </row>
    <row r="239">
      <c r="A239" s="6" t="inlineStr">
        <is>
          <t xml:space="preserve">RNF-08</t>
        </is>
      </c>
      <c r="B239" s="4" t="inlineStr">
        <is>
          <t xml:space="preserve">RNF</t>
        </is>
      </c>
      <c r="C239" s="6" t="inlineStr">
        <is>
          <t xml:space="preserve">La migración de la cartera de crédito viva no debe generar pérdida de datos.</t>
        </is>
      </c>
      <c r="D239" s="6" t="inlineStr">
        <is>
          <t xml:space="preserve">—</t>
        </is>
      </c>
      <c r="E239" s="6" t="inlineStr">
        <is>
          <t xml:space="preserve">Base tecnológica</t>
        </is>
      </c>
      <c r="F239" s="6" t="inlineStr">
        <is>
          <t xml:space="preserve">Ambos</t>
        </is>
      </c>
      <c r="G239" s="4" t="inlineStr">
        <is>
          <t xml:space="preserve">1</t>
        </is>
      </c>
      <c r="H239" s="4" t="inlineStr">
        <is>
          <t xml:space="preserve">Alta</t>
        </is>
      </c>
      <c r="I239" s="6" t="inlineStr">
        <is>
          <t xml:space="preserve">Filial emisora</t>
        </is>
      </c>
      <c r="J239" s="6" t="inlineStr">
        <is>
          <t xml:space="preserve">0 registros perdidos respecto del universo de 620.000 clientes con saldo.</t>
        </is>
      </c>
      <c r="K239" s="6" t="inlineStr">
        <is>
          <t xml:space="preserve">Conteo y cuadratura de universos origen y destino en cada corte de migración.</t>
        </is>
      </c>
      <c r="L239" s="6" t="inlineStr">
        <is>
          <t xml:space="preserve">RN-58</t>
        </is>
      </c>
      <c r="M239" s="6" t="inlineStr">
        <is>
          <t xml:space="preserve"/>
        </is>
      </c>
      <c r="N239" s="6" t="inlineStr">
        <is>
          <t xml:space="preserve">NFR-03</t>
        </is>
      </c>
      <c r="O239" s="6" t="inlineStr">
        <is>
          <t xml:space="preserve">NFR-03.1</t>
        </is>
      </c>
    </row>
    <row r="240">
      <c r="A240" s="6" t="inlineStr">
        <is>
          <t xml:space="preserve">RNF-09</t>
        </is>
      </c>
      <c r="B240" s="4" t="inlineStr">
        <is>
          <t xml:space="preserve">RNF</t>
        </is>
      </c>
      <c r="C240" s="6" t="inlineStr">
        <is>
          <t xml:space="preserve">La migración de la cartera de crédito viva no debe interrumpir el servicio de cobro.</t>
        </is>
      </c>
      <c r="D240" s="6" t="inlineStr">
        <is>
          <t xml:space="preserve">—</t>
        </is>
      </c>
      <c r="E240" s="6" t="inlineStr">
        <is>
          <t xml:space="preserve">Base tecnológica</t>
        </is>
      </c>
      <c r="F240" s="6" t="inlineStr">
        <is>
          <t xml:space="preserve">Ambos</t>
        </is>
      </c>
      <c r="G240" s="4" t="inlineStr">
        <is>
          <t xml:space="preserve">1</t>
        </is>
      </c>
      <c r="H240" s="4" t="inlineStr">
        <is>
          <t xml:space="preserve">Alta</t>
        </is>
      </c>
      <c r="I240" s="6" t="inlineStr">
        <is>
          <t xml:space="preserve">Filial emisora</t>
        </is>
      </c>
      <c r="J240" s="6" t="inlineStr">
        <is>
          <t xml:space="preserve">0 interrupciones del servicio de cobro durante la ventana de migración.</t>
        </is>
      </c>
      <c r="K240" s="6" t="inlineStr">
        <is>
          <t xml:space="preserve">Monitoreo continuo de disponibilidad del servicio de cobro durante cada etapa de coexistencia.</t>
        </is>
      </c>
      <c r="L240" s="6" t="inlineStr">
        <is>
          <t xml:space="preserve">RN-58</t>
        </is>
      </c>
      <c r="M240" s="6" t="inlineStr">
        <is>
          <t xml:space="preserve"/>
        </is>
      </c>
      <c r="N240" s="6" t="inlineStr">
        <is>
          <t xml:space="preserve">NFR-03</t>
        </is>
      </c>
      <c r="O240" s="6" t="inlineStr">
        <is>
          <t xml:space="preserve">NFR-03.2</t>
        </is>
      </c>
    </row>
    <row r="241">
      <c r="A241" s="6" t="inlineStr">
        <is>
          <t xml:space="preserve">RNF-10</t>
        </is>
      </c>
      <c r="B241" s="4" t="inlineStr">
        <is>
          <t xml:space="preserve">RNF</t>
        </is>
      </c>
      <c r="C241" s="6" t="inlineStr">
        <is>
          <t xml:space="preserve">La migración de la cartera de crédito viva no debe producir divergencia de saldos.</t>
        </is>
      </c>
      <c r="D241" s="6" t="inlineStr">
        <is>
          <t xml:space="preserve">—</t>
        </is>
      </c>
      <c r="E241" s="6" t="inlineStr">
        <is>
          <t xml:space="preserve">Base tecnológica</t>
        </is>
      </c>
      <c r="F241" s="6" t="inlineStr">
        <is>
          <t xml:space="preserve">Ambos</t>
        </is>
      </c>
      <c r="G241" s="4" t="inlineStr">
        <is>
          <t xml:space="preserve">1</t>
        </is>
      </c>
      <c r="H241" s="4" t="inlineStr">
        <is>
          <t xml:space="preserve">Alta</t>
        </is>
      </c>
      <c r="I241" s="6" t="inlineStr">
        <is>
          <t xml:space="preserve">Filial emisora</t>
        </is>
      </c>
      <c r="J241" s="6" t="inlineStr">
        <is>
          <t xml:space="preserve">0 divergencias no conciliadas en la conciliación diaria; migración completa antes de 2029.</t>
        </is>
      </c>
      <c r="K241" s="6" t="inlineStr">
        <is>
          <t xml:space="preserve">Conciliación diaria automatizada de saldos entre entorno origen y destino (RF-216).</t>
        </is>
      </c>
      <c r="L241" s="6" t="inlineStr">
        <is>
          <t xml:space="preserve">RN-58</t>
        </is>
      </c>
      <c r="M241" s="6" t="inlineStr">
        <is>
          <t xml:space="preserve"/>
        </is>
      </c>
      <c r="N241" s="6" t="inlineStr">
        <is>
          <t xml:space="preserve">NFR-03</t>
        </is>
      </c>
      <c r="O241" s="6" t="inlineStr">
        <is>
          <t xml:space="preserve">NFR-03.3</t>
        </is>
      </c>
    </row>
    <row r="242">
      <c r="A242" s="6" t="inlineStr">
        <is>
          <t xml:space="preserve">RNF-11</t>
        </is>
      </c>
      <c r="B242" s="4" t="inlineStr">
        <is>
          <t xml:space="preserve">RNF</t>
        </is>
      </c>
      <c r="C242" s="6" t="inlineStr">
        <is>
          <t xml:space="preserve">La separación lógica entre los datos del retail y los del negocio financiero debe estar implementada.</t>
        </is>
      </c>
      <c r="D242" s="6" t="inlineStr">
        <is>
          <t xml:space="preserve">—</t>
        </is>
      </c>
      <c r="E242" s="6" t="inlineStr">
        <is>
          <t xml:space="preserve">Base tecnológica</t>
        </is>
      </c>
      <c r="F242" s="6" t="inlineStr">
        <is>
          <t xml:space="preserve">Ambos</t>
        </is>
      </c>
      <c r="G242" s="4" t="inlineStr">
        <is>
          <t xml:space="preserve">1</t>
        </is>
      </c>
      <c r="H242" s="4" t="inlineStr">
        <is>
          <t xml:space="preserve">Alta</t>
        </is>
      </c>
      <c r="I242" s="6" t="inlineStr">
        <is>
          <t xml:space="preserve">Ambos</t>
        </is>
      </c>
      <c r="J242" s="6" t="inlineStr">
        <is>
          <t xml:space="preserve">Separación lógica operativa en todos los componentes que tratan datos de ambos ámbitos.</t>
        </is>
      </c>
      <c r="K242" s="6" t="inlineStr">
        <is>
          <t xml:space="preserve">Revisión de arquitectura desplegada y prueba de acceso denegado desde el ámbito retail.</t>
        </is>
      </c>
      <c r="L242" s="6" t="inlineStr">
        <is>
          <t xml:space="preserve">RN-01, RN-06</t>
        </is>
      </c>
      <c r="M242" s="6" t="inlineStr">
        <is>
          <t xml:space="preserve"/>
        </is>
      </c>
      <c r="N242" s="6" t="inlineStr">
        <is>
          <t xml:space="preserve">NFR-04</t>
        </is>
      </c>
      <c r="O242" s="6" t="inlineStr">
        <is>
          <t xml:space="preserve">NFR-04.1</t>
        </is>
      </c>
    </row>
    <row r="243">
      <c r="A243" s="6" t="inlineStr">
        <is>
          <t xml:space="preserve">RNF-12</t>
        </is>
      </c>
      <c r="B243" s="4" t="inlineStr">
        <is>
          <t xml:space="preserve">RNF</t>
        </is>
      </c>
      <c r="C243" s="6" t="inlineStr">
        <is>
          <t xml:space="preserve">La separación lógica entre ambos ámbitos debe estar documentada.</t>
        </is>
      </c>
      <c r="D243" s="6" t="inlineStr">
        <is>
          <t xml:space="preserve">—</t>
        </is>
      </c>
      <c r="E243" s="6" t="inlineStr">
        <is>
          <t xml:space="preserve">Base tecnológica</t>
        </is>
      </c>
      <c r="F243" s="6" t="inlineStr">
        <is>
          <t xml:space="preserve">Ambos</t>
        </is>
      </c>
      <c r="G243" s="4" t="inlineStr">
        <is>
          <t xml:space="preserve">1</t>
        </is>
      </c>
      <c r="H243" s="4" t="inlineStr">
        <is>
          <t xml:space="preserve">Alta</t>
        </is>
      </c>
      <c r="I243" s="6" t="inlineStr">
        <is>
          <t xml:space="preserve">Ambos</t>
        </is>
      </c>
      <c r="J243" s="6" t="inlineStr">
        <is>
          <t xml:space="preserve">Documento de separación vigente y versionado, aprobado por la Contraloría interna.</t>
        </is>
      </c>
      <c r="K243" s="6" t="inlineStr">
        <is>
          <t xml:space="preserve">Revisión documental contra el diseño desplegado.</t>
        </is>
      </c>
      <c r="L243" s="6" t="inlineStr">
        <is>
          <t xml:space="preserve">RN-01, RN-06</t>
        </is>
      </c>
      <c r="M243" s="6" t="inlineStr">
        <is>
          <t xml:space="preserve"/>
        </is>
      </c>
      <c r="N243" s="6" t="inlineStr">
        <is>
          <t xml:space="preserve">NFR-04</t>
        </is>
      </c>
      <c r="O243" s="6" t="inlineStr">
        <is>
          <t xml:space="preserve">NFR-04.2</t>
        </is>
      </c>
    </row>
    <row r="244">
      <c r="A244" s="6" t="inlineStr">
        <is>
          <t xml:space="preserve">RNF-13</t>
        </is>
      </c>
      <c r="B244" s="4" t="inlineStr">
        <is>
          <t xml:space="preserve">RNF</t>
        </is>
      </c>
      <c r="C244" s="6" t="inlineStr">
        <is>
          <t xml:space="preserve">La separación lógica entre ambos ámbitos debe ser verificada por auditoría independiente.</t>
        </is>
      </c>
      <c r="D244" s="6" t="inlineStr">
        <is>
          <t xml:space="preserve">—</t>
        </is>
      </c>
      <c r="E244" s="6" t="inlineStr">
        <is>
          <t xml:space="preserve">Base tecnológica</t>
        </is>
      </c>
      <c r="F244" s="6" t="inlineStr">
        <is>
          <t xml:space="preserve">Ambos</t>
        </is>
      </c>
      <c r="G244" s="4" t="inlineStr">
        <is>
          <t xml:space="preserve">1</t>
        </is>
      </c>
      <c r="H244" s="4" t="inlineStr">
        <is>
          <t xml:space="preserve">Alta</t>
        </is>
      </c>
      <c r="I244" s="6" t="inlineStr">
        <is>
          <t xml:space="preserve">Ambos</t>
        </is>
      </c>
      <c r="J244" s="6" t="inlineStr">
        <is>
          <t xml:space="preserve">Informe de auditoría aprobado con 0 hallazgos críticos abiertos, previo a cualquier vista unificada.</t>
        </is>
      </c>
      <c r="K244" s="6" t="inlineStr">
        <is>
          <t xml:space="preserve">Auditoría independiente con informe formal y seguimiento de hallazgos.</t>
        </is>
      </c>
      <c r="L244" s="6" t="inlineStr">
        <is>
          <t xml:space="preserve">RN-01, RN-06</t>
        </is>
      </c>
      <c r="M244" s="6" t="inlineStr">
        <is>
          <t xml:space="preserve"/>
        </is>
      </c>
      <c r="N244" s="6" t="inlineStr">
        <is>
          <t xml:space="preserve">NFR-04</t>
        </is>
      </c>
      <c r="O244" s="6" t="inlineStr">
        <is>
          <t xml:space="preserve">NFR-04.3</t>
        </is>
      </c>
    </row>
    <row r="245">
      <c r="A245" s="6" t="inlineStr">
        <is>
          <t xml:space="preserve">RNF-14</t>
        </is>
      </c>
      <c r="B245" s="4" t="inlineStr">
        <is>
          <t xml:space="preserve">RNF</t>
        </is>
      </c>
      <c r="C245" s="6" t="inlineStr">
        <is>
          <t xml:space="preserve">La separación física entre la infraestructura del retail y la de la filial emisora debe estar implementada y acreditada.</t>
        </is>
      </c>
      <c r="D245" s="6" t="inlineStr">
        <is>
          <t xml:space="preserve">—</t>
        </is>
      </c>
      <c r="E245" s="6" t="inlineStr">
        <is>
          <t xml:space="preserve">Base tecnológica</t>
        </is>
      </c>
      <c r="F245" s="6" t="inlineStr">
        <is>
          <t xml:space="preserve">Ambos</t>
        </is>
      </c>
      <c r="G245" s="4" t="inlineStr">
        <is>
          <t xml:space="preserve">1</t>
        </is>
      </c>
      <c r="H245" s="4" t="inlineStr">
        <is>
          <t xml:space="preserve">Alta</t>
        </is>
      </c>
      <c r="I245" s="6" t="inlineStr">
        <is>
          <t xml:space="preserve">Ambos</t>
        </is>
      </c>
      <c r="J245" s="6" t="inlineStr">
        <is>
          <t xml:space="preserve">Informe técnico de separación física acreditado; prueba de penetracion que demuestre que un componente del retail no alcanza datos de crédito.</t>
        </is>
      </c>
      <c r="K245" s="6" t="inlineStr">
        <is>
          <t xml:space="preserve">Prueba de penetracion e inspeccion de infraestructura.</t>
        </is>
      </c>
      <c r="L245" s="6" t="inlineStr">
        <is>
          <t xml:space="preserve">RN-01</t>
        </is>
      </c>
      <c r="M245" s="6" t="inlineStr">
        <is>
          <t xml:space="preserve"/>
        </is>
      </c>
      <c r="N245" s="6" t="inlineStr">
        <is>
          <t xml:space="preserve">—</t>
        </is>
      </c>
      <c r="O245" s="6" t="inlineStr">
        <is>
          <t xml:space="preserve">NFR-31</t>
        </is>
      </c>
    </row>
    <row r="246">
      <c r="A246" s="6" t="inlineStr">
        <is>
          <t xml:space="preserve">RNF-15</t>
        </is>
      </c>
      <c r="B246" s="4" t="inlineStr">
        <is>
          <t xml:space="preserve">RNF</t>
        </is>
      </c>
      <c r="C246" s="6" t="inlineStr">
        <is>
          <t xml:space="preserve">Toda acción relevante ejecutada en el sistema debe quedar registrada indicando usuario individual, acción e instante.</t>
        </is>
      </c>
      <c r="D246" s="6" t="inlineStr">
        <is>
          <t xml:space="preserve">—</t>
        </is>
      </c>
      <c r="E246" s="6" t="inlineStr">
        <is>
          <t xml:space="preserve">Base tecnológica</t>
        </is>
      </c>
      <c r="F246" s="6" t="inlineStr">
        <is>
          <t xml:space="preserve">Ambos</t>
        </is>
      </c>
      <c r="G246" s="4" t="inlineStr">
        <is>
          <t xml:space="preserve">1</t>
        </is>
      </c>
      <c r="H246" s="4" t="inlineStr">
        <is>
          <t xml:space="preserve">Alta</t>
        </is>
      </c>
      <c r="I246" s="6" t="inlineStr">
        <is>
          <t xml:space="preserve">Ambos</t>
        </is>
      </c>
      <c r="J246" s="6" t="inlineStr">
        <is>
          <t xml:space="preserve">100% de acciones relevantes con registro de auditoría.</t>
        </is>
      </c>
      <c r="K246" s="6" t="inlineStr">
        <is>
          <t xml:space="preserve">Auditoría de logs sobre muestra de transacciones.</t>
        </is>
      </c>
      <c r="L246" s="6" t="inlineStr">
        <is>
          <t xml:space="preserve">RN-50, RN-51, RN-52</t>
        </is>
      </c>
      <c r="M246" s="6" t="inlineStr">
        <is>
          <t xml:space="preserve"/>
        </is>
      </c>
      <c r="N246" s="6" t="inlineStr">
        <is>
          <t xml:space="preserve">—</t>
        </is>
      </c>
      <c r="O246" s="6" t="inlineStr">
        <is>
          <t xml:space="preserve">NFR-05</t>
        </is>
      </c>
    </row>
    <row r="247">
      <c r="A247" s="6" t="inlineStr">
        <is>
          <t xml:space="preserve">RNF-16</t>
        </is>
      </c>
      <c r="B247" s="4" t="inlineStr">
        <is>
          <t xml:space="preserve">RNF</t>
        </is>
      </c>
      <c r="C247" s="6" t="inlineStr">
        <is>
          <t xml:space="preserve">La consulta de disponibilidad en la ficha de producto del canal digital debe responder dentro del umbral definido.</t>
        </is>
      </c>
      <c r="D247" s="6" t="inlineStr">
        <is>
          <t xml:space="preserve">—</t>
        </is>
      </c>
      <c r="E247" s="6" t="inlineStr">
        <is>
          <t xml:space="preserve">Base tecnológica</t>
        </is>
      </c>
      <c r="F247" s="6" t="inlineStr">
        <is>
          <t xml:space="preserve">Ambos</t>
        </is>
      </c>
      <c r="G247" s="4" t="inlineStr">
        <is>
          <t xml:space="preserve">1</t>
        </is>
      </c>
      <c r="H247" s="4" t="inlineStr">
        <is>
          <t xml:space="preserve">Alta</t>
        </is>
      </c>
      <c r="I247" s="6" t="inlineStr">
        <is>
          <t xml:space="preserve">Retail</t>
        </is>
      </c>
      <c r="J247" s="6" t="inlineStr">
        <is>
          <t xml:space="preserve">&lt;= 400 ms.</t>
        </is>
      </c>
      <c r="K247" s="6" t="inlineStr">
        <is>
          <t xml:space="preserve">Prueba de tiempo de respuesta bajo carga representativa.</t>
        </is>
      </c>
      <c r="L247" s="6" t="inlineStr">
        <is>
          <t xml:space="preserve">RN-09</t>
        </is>
      </c>
      <c r="M247" s="6" t="inlineStr">
        <is>
          <t xml:space="preserve"/>
        </is>
      </c>
      <c r="N247" s="6" t="inlineStr">
        <is>
          <t xml:space="preserve">—</t>
        </is>
      </c>
      <c r="O247" s="6" t="inlineStr">
        <is>
          <t xml:space="preserve">NFR-06.1</t>
        </is>
      </c>
    </row>
    <row r="248">
      <c r="A248" s="6" t="inlineStr">
        <is>
          <t xml:space="preserve">RNF-17</t>
        </is>
      </c>
      <c r="B248" s="4" t="inlineStr">
        <is>
          <t xml:space="preserve">RNF</t>
        </is>
      </c>
      <c r="C248" s="6" t="inlineStr">
        <is>
          <t xml:space="preserve">La confirmación de un pedido durante el evento anual debe completarse dentro del umbral definido.</t>
        </is>
      </c>
      <c r="D248" s="6" t="inlineStr">
        <is>
          <t xml:space="preserve">—</t>
        </is>
      </c>
      <c r="E248" s="6" t="inlineStr">
        <is>
          <t xml:space="preserve">Base tecnológica</t>
        </is>
      </c>
      <c r="F248" s="6" t="inlineStr">
        <is>
          <t xml:space="preserve">Ambos</t>
        </is>
      </c>
      <c r="G248" s="4" t="inlineStr">
        <is>
          <t xml:space="preserve">2</t>
        </is>
      </c>
      <c r="H248" s="4" t="inlineStr">
        <is>
          <t xml:space="preserve">Alta</t>
        </is>
      </c>
      <c r="I248" s="6" t="inlineStr">
        <is>
          <t xml:space="preserve">Retail</t>
        </is>
      </c>
      <c r="J248" s="6" t="inlineStr">
        <is>
          <t xml:space="preserve">&lt;= 3 s.</t>
        </is>
      </c>
      <c r="K248" s="6" t="inlineStr">
        <is>
          <t xml:space="preserve">Prueba de carga con volumetria del evento anual.</t>
        </is>
      </c>
      <c r="L248" s="6" t="inlineStr">
        <is>
          <t xml:space="preserve">RN-57</t>
        </is>
      </c>
      <c r="M248" s="6" t="inlineStr">
        <is>
          <t xml:space="preserve">Mide el servicio de pedidos, de la Etapa 2.</t>
        </is>
      </c>
      <c r="N248" s="6" t="inlineStr">
        <is>
          <t xml:space="preserve">—</t>
        </is>
      </c>
      <c r="O248" s="6" t="inlineStr">
        <is>
          <t xml:space="preserve">NFR-06.2</t>
        </is>
      </c>
    </row>
    <row r="249">
      <c r="A249" s="6" t="inlineStr">
        <is>
          <t xml:space="preserve">RNF-18</t>
        </is>
      </c>
      <c r="B249" s="4" t="inlineStr">
        <is>
          <t xml:space="preserve">RNF</t>
        </is>
      </c>
      <c r="C249" s="6" t="inlineStr">
        <is>
          <t xml:space="preserve">La venta completa en caja con medio de pago externo debe completarse dentro del umbral definido.</t>
        </is>
      </c>
      <c r="D249" s="6" t="inlineStr">
        <is>
          <t xml:space="preserve">—</t>
        </is>
      </c>
      <c r="E249" s="6" t="inlineStr">
        <is>
          <t xml:space="preserve">Base tecnológica</t>
        </is>
      </c>
      <c r="F249" s="6" t="inlineStr">
        <is>
          <t xml:space="preserve">Ambos</t>
        </is>
      </c>
      <c r="G249" s="4" t="inlineStr">
        <is>
          <t xml:space="preserve">1</t>
        </is>
      </c>
      <c r="H249" s="4" t="inlineStr">
        <is>
          <t xml:space="preserve">Alta</t>
        </is>
      </c>
      <c r="I249" s="6" t="inlineStr">
        <is>
          <t xml:space="preserve">Retail</t>
        </is>
      </c>
      <c r="J249" s="6" t="inlineStr">
        <is>
          <t xml:space="preserve">&lt;= 25 s.</t>
        </is>
      </c>
      <c r="K249" s="6" t="inlineStr">
        <is>
          <t xml:space="preserve">Prueba de tiempo de respuesta en linea de caja.</t>
        </is>
      </c>
      <c r="L249" s="6" t="inlineStr">
        <is>
          <t xml:space="preserve">RN-46</t>
        </is>
      </c>
      <c r="M249" s="6" t="inlineStr">
        <is>
          <t xml:space="preserve"/>
        </is>
      </c>
      <c r="N249" s="6" t="inlineStr">
        <is>
          <t xml:space="preserve">—</t>
        </is>
      </c>
      <c r="O249" s="6" t="inlineStr">
        <is>
          <t xml:space="preserve">NFR-06.3</t>
        </is>
      </c>
    </row>
    <row r="250">
      <c r="A250" s="6" t="inlineStr">
        <is>
          <t xml:space="preserve">RNF-19</t>
        </is>
      </c>
      <c r="B250" s="4" t="inlineStr">
        <is>
          <t xml:space="preserve">RNF</t>
        </is>
      </c>
      <c r="C250" s="6" t="inlineStr">
        <is>
          <t xml:space="preserve">La propagación de un cambio de precio a las 380 líneas de caja y al canal digital debe completarse dentro del umbral definido.</t>
        </is>
      </c>
      <c r="D250" s="6" t="inlineStr">
        <is>
          <t xml:space="preserve">—</t>
        </is>
      </c>
      <c r="E250" s="6" t="inlineStr">
        <is>
          <t xml:space="preserve">Base tecnológica</t>
        </is>
      </c>
      <c r="F250" s="6" t="inlineStr">
        <is>
          <t xml:space="preserve">Ambos</t>
        </is>
      </c>
      <c r="G250" s="4" t="inlineStr">
        <is>
          <t xml:space="preserve">1</t>
        </is>
      </c>
      <c r="H250" s="4" t="inlineStr">
        <is>
          <t xml:space="preserve">Alta</t>
        </is>
      </c>
      <c r="I250" s="6" t="inlineStr">
        <is>
          <t xml:space="preserve">Retail</t>
        </is>
      </c>
      <c r="J250" s="6" t="inlineStr">
        <is>
          <t xml:space="preserve">&lt;= 5 minutos.</t>
        </is>
      </c>
      <c r="K250" s="6" t="inlineStr">
        <is>
          <t xml:space="preserve">Medicion de latencia de propagación por destino.</t>
        </is>
      </c>
      <c r="L250" s="6" t="inlineStr">
        <is>
          <t xml:space="preserve">RN-16, RN-18</t>
        </is>
      </c>
      <c r="M250" s="6" t="inlineStr">
        <is>
          <t xml:space="preserve"/>
        </is>
      </c>
      <c r="N250" s="6" t="inlineStr">
        <is>
          <t xml:space="preserve">—</t>
        </is>
      </c>
      <c r="O250" s="6" t="inlineStr">
        <is>
          <t xml:space="preserve">NFR-06.4</t>
        </is>
      </c>
    </row>
    <row r="251">
      <c r="A251" s="6" t="inlineStr">
        <is>
          <t xml:space="preserve">RNF-20</t>
        </is>
      </c>
      <c r="B251" s="4" t="inlineStr">
        <is>
          <t xml:space="preserve">RNF</t>
        </is>
      </c>
      <c r="C251" s="6" t="inlineStr">
        <is>
          <t xml:space="preserve">El registro de una devolución en el mesón debe completarse dentro del umbral definido.</t>
        </is>
      </c>
      <c r="D251" s="6" t="inlineStr">
        <is>
          <t xml:space="preserve">—</t>
        </is>
      </c>
      <c r="E251" s="6" t="inlineStr">
        <is>
          <t xml:space="preserve">Base tecnológica</t>
        </is>
      </c>
      <c r="F251" s="6" t="inlineStr">
        <is>
          <t xml:space="preserve">Ambos</t>
        </is>
      </c>
      <c r="G251" s="4" t="inlineStr">
        <is>
          <t xml:space="preserve">1</t>
        </is>
      </c>
      <c r="H251" s="4" t="inlineStr">
        <is>
          <t xml:space="preserve">Alta</t>
        </is>
      </c>
      <c r="I251" s="6" t="inlineStr">
        <is>
          <t xml:space="preserve">Retail</t>
        </is>
      </c>
      <c r="J251" s="6" t="inlineStr">
        <is>
          <t xml:space="preserve">&lt;= 60 s.</t>
        </is>
      </c>
      <c r="K251" s="6" t="inlineStr">
        <is>
          <t xml:space="preserve">Prueba de tiempo de respuesta en mesón de atención.</t>
        </is>
      </c>
      <c r="L251" s="6" t="inlineStr">
        <is>
          <t xml:space="preserve">RN-14, RN-26</t>
        </is>
      </c>
      <c r="M251" s="6" t="inlineStr">
        <is>
          <t xml:space="preserve"/>
        </is>
      </c>
      <c r="N251" s="6" t="inlineStr">
        <is>
          <t xml:space="preserve">—</t>
        </is>
      </c>
      <c r="O251" s="6" t="inlineStr">
        <is>
          <t xml:space="preserve">NFR-06.5</t>
        </is>
      </c>
    </row>
    <row r="252">
      <c r="A252" s="6" t="inlineStr">
        <is>
          <t xml:space="preserve">RNF-21</t>
        </is>
      </c>
      <c r="B252" s="4" t="inlineStr">
        <is>
          <t xml:space="preserve">RNF</t>
        </is>
      </c>
      <c r="C252" s="6" t="inlineStr">
        <is>
          <t xml:space="preserve">La consulta de disponibilidad desde una terminal compartida del piso de venta debe responder dentro del umbral definido.</t>
        </is>
      </c>
      <c r="D252" s="6" t="inlineStr">
        <is>
          <t xml:space="preserve">—</t>
        </is>
      </c>
      <c r="E252" s="6" t="inlineStr">
        <is>
          <t xml:space="preserve">Base tecnológica</t>
        </is>
      </c>
      <c r="F252" s="6" t="inlineStr">
        <is>
          <t xml:space="preserve">Ambos</t>
        </is>
      </c>
      <c r="G252" s="4" t="inlineStr">
        <is>
          <t xml:space="preserve">1</t>
        </is>
      </c>
      <c r="H252" s="4" t="inlineStr">
        <is>
          <t xml:space="preserve">Alta</t>
        </is>
      </c>
      <c r="I252" s="6" t="inlineStr">
        <is>
          <t xml:space="preserve">Retail</t>
        </is>
      </c>
      <c r="J252" s="6" t="inlineStr">
        <is>
          <t xml:space="preserve">&lt;= 2 s.</t>
        </is>
      </c>
      <c r="K252" s="6" t="inlineStr">
        <is>
          <t xml:space="preserve">Prueba de tiempo de respuesta en terminal de sala.</t>
        </is>
      </c>
      <c r="L252" s="6" t="inlineStr">
        <is>
          <t xml:space="preserve">RN-09, RN-P05</t>
        </is>
      </c>
      <c r="M252" s="6" t="inlineStr">
        <is>
          <t xml:space="preserve"/>
        </is>
      </c>
      <c r="N252" s="6" t="inlineStr">
        <is>
          <t xml:space="preserve">—</t>
        </is>
      </c>
      <c r="O252" s="6" t="inlineStr">
        <is>
          <t xml:space="preserve">NFR-06.6</t>
        </is>
      </c>
    </row>
    <row r="253">
      <c r="A253" s="6" t="inlineStr">
        <is>
          <t xml:space="preserve">RNF-22</t>
        </is>
      </c>
      <c r="B253" s="4" t="inlineStr">
        <is>
          <t xml:space="preserve">RNF</t>
        </is>
      </c>
      <c r="C253" s="6" t="inlineStr">
        <is>
          <t xml:space="preserve">La plataforma debe soportar la concurrencia y el volumen del peak digital del evento anual sin degradar los umbrales de NFR-06.x.</t>
        </is>
      </c>
      <c r="D253" s="6" t="inlineStr">
        <is>
          <t xml:space="preserve">—</t>
        </is>
      </c>
      <c r="E253" s="6" t="inlineStr">
        <is>
          <t xml:space="preserve">Base tecnológica</t>
        </is>
      </c>
      <c r="F253" s="6" t="inlineStr">
        <is>
          <t xml:space="preserve">Ambos</t>
        </is>
      </c>
      <c r="G253" s="4" t="inlineStr">
        <is>
          <t xml:space="preserve">1</t>
        </is>
      </c>
      <c r="H253" s="4" t="inlineStr">
        <is>
          <t xml:space="preserve">Alta</t>
        </is>
      </c>
      <c r="I253" s="6" t="inlineStr">
        <is>
          <t xml:space="preserve">Ambos</t>
        </is>
      </c>
      <c r="J253" s="6" t="inlineStr">
        <is>
          <t xml:space="preserve">Perfil declarado por el PROPONENTE sobre 104.000 pedidos en 3 días (proyección 150.000), equivalente a 22 días de venta en línea.</t>
        </is>
      </c>
      <c r="K253" s="6" t="inlineStr">
        <is>
          <t xml:space="preserve">Prueba de carga con perfil del evento anual al 120 % del peak proyectado.</t>
        </is>
      </c>
      <c r="L253" s="6" t="inlineStr">
        <is>
          <t xml:space="preserve">RN-57</t>
        </is>
      </c>
      <c r="M253" s="6" t="inlineStr">
        <is>
          <t xml:space="preserve"/>
        </is>
      </c>
      <c r="N253" s="6" t="inlineStr">
        <is>
          <t xml:space="preserve">NFR-07</t>
        </is>
      </c>
      <c r="O253" s="6" t="inlineStr">
        <is>
          <t xml:space="preserve">NFR-07.1</t>
        </is>
      </c>
    </row>
    <row r="254">
      <c r="A254" s="6" t="inlineStr">
        <is>
          <t xml:space="preserve">RNF-23</t>
        </is>
      </c>
      <c r="B254" s="4" t="inlineStr">
        <is>
          <t xml:space="preserve">RNF</t>
        </is>
      </c>
      <c r="C254" s="6" t="inlineStr">
        <is>
          <t xml:space="preserve">La plataforma debe soportar la concurrencia y el volumen del peak presencial de la campaña de noviembre y diciembre sin degradar los umbrales de NFR-06.x.</t>
        </is>
      </c>
      <c r="D254" s="6" t="inlineStr">
        <is>
          <t xml:space="preserve">—</t>
        </is>
      </c>
      <c r="E254" s="6" t="inlineStr">
        <is>
          <t xml:space="preserve">Base tecnológica</t>
        </is>
      </c>
      <c r="F254" s="6" t="inlineStr">
        <is>
          <t xml:space="preserve">Ambos</t>
        </is>
      </c>
      <c r="G254" s="4" t="inlineStr">
        <is>
          <t xml:space="preserve">1</t>
        </is>
      </c>
      <c r="H254" s="4" t="inlineStr">
        <is>
          <t xml:space="preserve">Alta</t>
        </is>
      </c>
      <c r="I254" s="6" t="inlineStr">
        <is>
          <t xml:space="preserve">Ambos</t>
        </is>
      </c>
      <c r="J254" s="6" t="inlineStr">
        <is>
          <t xml:space="preserve">Perfil declarado por el PROPONENTE sobre 380 líneas de caja (430 proyectadas) en peak de sábado de diciembre.</t>
        </is>
      </c>
      <c r="K254" s="6" t="inlineStr">
        <is>
          <t xml:space="preserve">Prueba de carga con perfil presencial sostenido, independiente de la prueba del peak digital.</t>
        </is>
      </c>
      <c r="L254" s="6" t="inlineStr">
        <is>
          <t xml:space="preserve">RN-57</t>
        </is>
      </c>
      <c r="M254" s="6" t="inlineStr">
        <is>
          <t xml:space="preserve"/>
        </is>
      </c>
      <c r="N254" s="6" t="inlineStr">
        <is>
          <t xml:space="preserve">NFR-07</t>
        </is>
      </c>
      <c r="O254" s="6" t="inlineStr">
        <is>
          <t xml:space="preserve">NFR-07.2</t>
        </is>
      </c>
    </row>
    <row r="255">
      <c r="A255" s="6" t="inlineStr">
        <is>
          <t xml:space="preserve">RNF-24</t>
        </is>
      </c>
      <c r="B255" s="4" t="inlineStr">
        <is>
          <t xml:space="preserve">RNF</t>
        </is>
      </c>
      <c r="C255" s="6" t="inlineStr">
        <is>
          <t xml:space="preserve">Una tienda debe poder operar sin enlace externo durante el período mínimo definido.</t>
        </is>
      </c>
      <c r="D255" s="6" t="inlineStr">
        <is>
          <t xml:space="preserve">—</t>
        </is>
      </c>
      <c r="E255" s="6" t="inlineStr">
        <is>
          <t xml:space="preserve">Base tecnológica</t>
        </is>
      </c>
      <c r="F255" s="6" t="inlineStr">
        <is>
          <t xml:space="preserve">Ambos</t>
        </is>
      </c>
      <c r="G255" s="4" t="inlineStr">
        <is>
          <t xml:space="preserve">1</t>
        </is>
      </c>
      <c r="H255" s="4" t="inlineStr">
        <is>
          <t xml:space="preserve">Alta</t>
        </is>
      </c>
      <c r="I255" s="6" t="inlineStr">
        <is>
          <t xml:space="preserve">Retail</t>
        </is>
      </c>
      <c r="J255" s="6" t="inlineStr">
        <is>
          <t xml:space="preserve">&gt;= 24 horas continuas.</t>
        </is>
      </c>
      <c r="K255" s="6" t="inlineStr">
        <is>
          <t xml:space="preserve">Prueba de desconexion controlada en tienda.</t>
        </is>
      </c>
      <c r="L255" s="6" t="inlineStr">
        <is>
          <t xml:space="preserve">RN-46</t>
        </is>
      </c>
      <c r="M255" s="6" t="inlineStr">
        <is>
          <t xml:space="preserve">Umbral unificado a 24 horas (autonomía única, Bases Técnicas Transversales RT-03.10 y art. 16.4 de las Bases Administrativas). El catálogo previo decía 8 horas.</t>
        </is>
      </c>
      <c r="N255" s="6" t="inlineStr">
        <is>
          <t xml:space="preserve">—</t>
        </is>
      </c>
      <c r="O255" s="6" t="inlineStr">
        <is>
          <t xml:space="preserve">NFR-08.1</t>
        </is>
      </c>
    </row>
    <row r="256">
      <c r="A256" s="6" t="inlineStr">
        <is>
          <t xml:space="preserve">RNF-25</t>
        </is>
      </c>
      <c r="B256" s="4" t="inlineStr">
        <is>
          <t xml:space="preserve">RNF</t>
        </is>
      </c>
      <c r="C256" s="6" t="inlineStr">
        <is>
          <t xml:space="preserve">El centro de distribución principal debe poder operar sin enlace externo durante el período mínimo definido.</t>
        </is>
      </c>
      <c r="D256" s="6" t="inlineStr">
        <is>
          <t xml:space="preserve">—</t>
        </is>
      </c>
      <c r="E256" s="6" t="inlineStr">
        <is>
          <t xml:space="preserve">Base tecnológica</t>
        </is>
      </c>
      <c r="F256" s="6" t="inlineStr">
        <is>
          <t xml:space="preserve">Ambos</t>
        </is>
      </c>
      <c r="G256" s="4" t="inlineStr">
        <is>
          <t xml:space="preserve">1</t>
        </is>
      </c>
      <c r="H256" s="4" t="inlineStr">
        <is>
          <t xml:space="preserve">Alta</t>
        </is>
      </c>
      <c r="I256" s="6" t="inlineStr">
        <is>
          <t xml:space="preserve">Retail</t>
        </is>
      </c>
      <c r="J256" s="6" t="inlineStr">
        <is>
          <t xml:space="preserve">&gt;= 24 horas continuas.</t>
        </is>
      </c>
      <c r="K256" s="6" t="inlineStr">
        <is>
          <t xml:space="preserve">Prueba de desconexión controlada en el centro de distribución.</t>
        </is>
      </c>
      <c r="L256" s="6" t="inlineStr">
        <is>
          <t xml:space="preserve">RN-46</t>
        </is>
      </c>
      <c r="M256" s="6" t="inlineStr">
        <is>
          <t xml:space="preserve">Se eleva de 4 a 24 horas: RT-03.10 y el art. 16.4 no admiten menos de 24 horas para el componente on-premise. El valor de 4 horas del Caso queda por debajo y rige el más exigente. Se valida con el cliente al inicio del proyecto, antes de fijar la línea base.</t>
        </is>
      </c>
      <c r="N256" s="6" t="inlineStr">
        <is>
          <t xml:space="preserve">—</t>
        </is>
      </c>
      <c r="O256" s="6" t="inlineStr">
        <is>
          <t xml:space="preserve">NFR-08.2</t>
        </is>
      </c>
    </row>
    <row r="257">
      <c r="A257" s="6" t="inlineStr">
        <is>
          <t xml:space="preserve">RNF-26</t>
        </is>
      </c>
      <c r="B257" s="4" t="inlineStr">
        <is>
          <t xml:space="preserve">RNF</t>
        </is>
      </c>
      <c r="C257" s="6" t="inlineStr">
        <is>
          <t xml:space="preserve">La sincronización tras la reconexión no debe superar el plazo definido.</t>
        </is>
      </c>
      <c r="D257" s="6" t="inlineStr">
        <is>
          <t xml:space="preserve">—</t>
        </is>
      </c>
      <c r="E257" s="6" t="inlineStr">
        <is>
          <t xml:space="preserve">Base tecnológica</t>
        </is>
      </c>
      <c r="F257" s="6" t="inlineStr">
        <is>
          <t xml:space="preserve">Ambos</t>
        </is>
      </c>
      <c r="G257" s="4" t="inlineStr">
        <is>
          <t xml:space="preserve">1</t>
        </is>
      </c>
      <c r="H257" s="4" t="inlineStr">
        <is>
          <t xml:space="preserve">Alta</t>
        </is>
      </c>
      <c r="I257" s="6" t="inlineStr">
        <is>
          <t xml:space="preserve">Retail</t>
        </is>
      </c>
      <c r="J257" s="6" t="inlineStr">
        <is>
          <t xml:space="preserve">&lt;= 30 minutos tras 24 horas de desconexión.</t>
        </is>
      </c>
      <c r="K257" s="6" t="inlineStr">
        <is>
          <t xml:space="preserve">Prueba de reconexión cronometrada tras desconexión programada de 24 horas.</t>
        </is>
      </c>
      <c r="L257" s="6" t="inlineStr">
        <is>
          <t xml:space="preserve">RN-48</t>
        </is>
      </c>
      <c r="M257" s="6" t="inlineStr">
        <is>
          <t xml:space="preserve">Alineado a la autonomía única de 24 horas. El volumen tras 24 horas es un supuesto por estimar. El catálogo previo decía 8 horas.</t>
        </is>
      </c>
      <c r="N257" s="6" t="inlineStr">
        <is>
          <t xml:space="preserve">NFR-08.3</t>
        </is>
      </c>
      <c r="O257" s="6" t="inlineStr">
        <is>
          <t xml:space="preserve">NFR-08.3a</t>
        </is>
      </c>
    </row>
    <row r="258">
      <c r="A258" s="6" t="inlineStr">
        <is>
          <t xml:space="preserve">RNF-27</t>
        </is>
      </c>
      <c r="B258" s="4" t="inlineStr">
        <is>
          <t xml:space="preserve">RNF</t>
        </is>
      </c>
      <c r="C258" s="6" t="inlineStr">
        <is>
          <t xml:space="preserve">La sincronización tras la reconexión no debe producir pérdida de ventas ni de documentos.</t>
        </is>
      </c>
      <c r="D258" s="6" t="inlineStr">
        <is>
          <t xml:space="preserve">—</t>
        </is>
      </c>
      <c r="E258" s="6" t="inlineStr">
        <is>
          <t xml:space="preserve">Base tecnológica</t>
        </is>
      </c>
      <c r="F258" s="6" t="inlineStr">
        <is>
          <t xml:space="preserve">Ambos</t>
        </is>
      </c>
      <c r="G258" s="4" t="inlineStr">
        <is>
          <t xml:space="preserve">1</t>
        </is>
      </c>
      <c r="H258" s="4" t="inlineStr">
        <is>
          <t xml:space="preserve">Alta</t>
        </is>
      </c>
      <c r="I258" s="6" t="inlineStr">
        <is>
          <t xml:space="preserve">Retail</t>
        </is>
      </c>
      <c r="J258" s="6" t="inlineStr">
        <is>
          <t xml:space="preserve">0 ventas y 0 documentos perdidos o duplicados.</t>
        </is>
      </c>
      <c r="K258" s="6" t="inlineStr">
        <is>
          <t xml:space="preserve">Cuadratura del universo de transacciones de la ventana desconectada contra el sistema central.</t>
        </is>
      </c>
      <c r="L258" s="6" t="inlineStr">
        <is>
          <t xml:space="preserve">RN-48</t>
        </is>
      </c>
      <c r="M258" s="6" t="inlineStr">
        <is>
          <t xml:space="preserve"/>
        </is>
      </c>
      <c r="N258" s="6" t="inlineStr">
        <is>
          <t xml:space="preserve">NFR-08.3</t>
        </is>
      </c>
      <c r="O258" s="6" t="inlineStr">
        <is>
          <t xml:space="preserve">NFR-08.3b</t>
        </is>
      </c>
    </row>
    <row r="259">
      <c r="A259" s="6" t="inlineStr">
        <is>
          <t xml:space="preserve">RNF-28</t>
        </is>
      </c>
      <c r="B259" s="4" t="inlineStr">
        <is>
          <t xml:space="preserve">RNF</t>
        </is>
      </c>
      <c r="C259" s="6" t="inlineStr">
        <is>
          <t xml:space="preserve">La operación desconectada autónoma on-premise debe sostenerse durante el período mínimo exigido por las bases técnicas.</t>
        </is>
      </c>
      <c r="D259" s="6" t="inlineStr">
        <is>
          <t xml:space="preserve">—</t>
        </is>
      </c>
      <c r="E259" s="6" t="inlineStr">
        <is>
          <t xml:space="preserve">Base tecnológica</t>
        </is>
      </c>
      <c r="F259" s="6" t="inlineStr">
        <is>
          <t xml:space="preserve">Ambos</t>
        </is>
      </c>
      <c r="G259" s="4" t="inlineStr">
        <is>
          <t xml:space="preserve">1</t>
        </is>
      </c>
      <c r="H259" s="4" t="inlineStr">
        <is>
          <t xml:space="preserve">Alta</t>
        </is>
      </c>
      <c r="I259" s="6" t="inlineStr">
        <is>
          <t xml:space="preserve">Retail</t>
        </is>
      </c>
      <c r="J259" s="6" t="inlineStr">
        <is>
          <t xml:space="preserve">&gt;= 24 horas continuas (Bases Técnicas Transversales).</t>
        </is>
      </c>
      <c r="K259" s="6" t="inlineStr">
        <is>
          <t xml:space="preserve">Prueba de desconexion extendida.</t>
        </is>
      </c>
      <c r="L259" s="6" t="inlineStr">
        <is>
          <t xml:space="preserve">RN-46</t>
        </is>
      </c>
      <c r="M259" s="6" t="inlineStr">
        <is>
          <t xml:space="preserve">Se retira la referencia al mínimo de 8 horas de RN-46: rige el valor más exigente. Coincide con RNF-24 en tiendas y se mantiene para el componente on-premise.</t>
        </is>
      </c>
      <c r="N259" s="6" t="inlineStr">
        <is>
          <t xml:space="preserve">—</t>
        </is>
      </c>
      <c r="O259" s="6" t="inlineStr">
        <is>
          <t xml:space="preserve">NFR-08.4</t>
        </is>
      </c>
    </row>
    <row r="260">
      <c r="A260" s="6" t="inlineStr">
        <is>
          <t xml:space="preserve">RNF-29</t>
        </is>
      </c>
      <c r="B260" s="4" t="inlineStr">
        <is>
          <t xml:space="preserve">RNF</t>
        </is>
      </c>
      <c r="C260" s="6" t="inlineStr">
        <is>
          <t xml:space="preserve">La operación de tiendas y centros de distribución debe estar disponible en la ventana horaria definida.</t>
        </is>
      </c>
      <c r="D260" s="6" t="inlineStr">
        <is>
          <t xml:space="preserve">—</t>
        </is>
      </c>
      <c r="E260" s="6" t="inlineStr">
        <is>
          <t xml:space="preserve">Base tecnológica</t>
        </is>
      </c>
      <c r="F260" s="6" t="inlineStr">
        <is>
          <t xml:space="preserve">Ambos</t>
        </is>
      </c>
      <c r="G260" s="4" t="inlineStr">
        <is>
          <t xml:space="preserve">1</t>
        </is>
      </c>
      <c r="H260" s="4" t="inlineStr">
        <is>
          <t xml:space="preserve">Alta</t>
        </is>
      </c>
      <c r="I260" s="6" t="inlineStr">
        <is>
          <t xml:space="preserve">Retail</t>
        </is>
      </c>
      <c r="J260" s="6" t="inlineStr">
        <is>
          <t xml:space="preserve">09:00 a 23:00, todos los dias del ano.</t>
        </is>
      </c>
      <c r="K260" s="6" t="inlineStr">
        <is>
          <t xml:space="preserve">Monitoreo continuo de disponibilidad por servicio.</t>
        </is>
      </c>
      <c r="L260" s="6" t="inlineStr">
        <is>
          <t xml:space="preserve">RN-46</t>
        </is>
      </c>
      <c r="M260" s="6" t="inlineStr">
        <is>
          <t xml:space="preserve"/>
        </is>
      </c>
      <c r="N260" s="6" t="inlineStr">
        <is>
          <t xml:space="preserve">—</t>
        </is>
      </c>
      <c r="O260" s="6" t="inlineStr">
        <is>
          <t xml:space="preserve">NFR-09.1</t>
        </is>
      </c>
    </row>
    <row r="261">
      <c r="A261" s="6" t="inlineStr">
        <is>
          <t xml:space="preserve">RNF-30</t>
        </is>
      </c>
      <c r="B261" s="4" t="inlineStr">
        <is>
          <t xml:space="preserve">RNF</t>
        </is>
      </c>
      <c r="C261" s="6" t="inlineStr">
        <is>
          <t xml:space="preserve">El canal digital debe estar disponible de forma continua.</t>
        </is>
      </c>
      <c r="D261" s="6" t="inlineStr">
        <is>
          <t xml:space="preserve">—</t>
        </is>
      </c>
      <c r="E261" s="6" t="inlineStr">
        <is>
          <t xml:space="preserve">Base tecnológica</t>
        </is>
      </c>
      <c r="F261" s="6" t="inlineStr">
        <is>
          <t xml:space="preserve">Ambos</t>
        </is>
      </c>
      <c r="G261" s="4" t="inlineStr">
        <is>
          <t xml:space="preserve">1</t>
        </is>
      </c>
      <c r="H261" s="4" t="inlineStr">
        <is>
          <t xml:space="preserve">Alta</t>
        </is>
      </c>
      <c r="I261" s="6" t="inlineStr">
        <is>
          <t xml:space="preserve">Retail</t>
        </is>
      </c>
      <c r="J261" s="6" t="inlineStr">
        <is>
          <t xml:space="preserve">24x7x365; disponibilidad &gt;= 99,5 % (supuesto fundamentado, equivalente a Tier 2).</t>
        </is>
      </c>
      <c r="K261" s="6" t="inlineStr">
        <is>
          <t xml:space="preserve">Medición mensual de disponibilidad contra el nivel de servicio comprometido.</t>
        </is>
      </c>
      <c r="L261" s="6" t="inlineStr">
        <is>
          <t xml:space="preserve">RN-46, RN-58</t>
        </is>
      </c>
      <c r="M261" s="6" t="inlineStr">
        <is>
          <t xml:space="preserve"/>
        </is>
      </c>
      <c r="N261" s="6" t="inlineStr">
        <is>
          <t xml:space="preserve">NFR-09.2</t>
        </is>
      </c>
      <c r="O261" s="6" t="inlineStr">
        <is>
          <t xml:space="preserve">NFR-09.2a</t>
        </is>
      </c>
    </row>
    <row r="262">
      <c r="A262" s="6" t="inlineStr">
        <is>
          <t xml:space="preserve">RNF-31</t>
        </is>
      </c>
      <c r="B262" s="4" t="inlineStr">
        <is>
          <t xml:space="preserve">RNF</t>
        </is>
      </c>
      <c r="C262" s="6" t="inlineStr">
        <is>
          <t xml:space="preserve">Los servicios financieros que afectan pagos, estados de cuenta y bloqueo de tarjetas deben estar disponibles de forma continua.</t>
        </is>
      </c>
      <c r="D262" s="6" t="inlineStr">
        <is>
          <t xml:space="preserve">—</t>
        </is>
      </c>
      <c r="E262" s="6" t="inlineStr">
        <is>
          <t xml:space="preserve">Base tecnológica</t>
        </is>
      </c>
      <c r="F262" s="6" t="inlineStr">
        <is>
          <t xml:space="preserve">Ambos</t>
        </is>
      </c>
      <c r="G262" s="4" t="inlineStr">
        <is>
          <t xml:space="preserve">1</t>
        </is>
      </c>
      <c r="H262" s="4" t="inlineStr">
        <is>
          <t xml:space="preserve">Alta</t>
        </is>
      </c>
      <c r="I262" s="6" t="inlineStr">
        <is>
          <t xml:space="preserve">Filial emisora</t>
        </is>
      </c>
      <c r="J262" s="6" t="inlineStr">
        <is>
          <t xml:space="preserve">24x7x365; disponibilidad &gt;= 99,5 % (supuesto fundamentado).</t>
        </is>
      </c>
      <c r="K262" s="6" t="inlineStr">
        <is>
          <t xml:space="preserve">Medición mensual segregada por ámbito, informada a la filial emisora.</t>
        </is>
      </c>
      <c r="L262" s="6" t="inlineStr">
        <is>
          <t xml:space="preserve">RN-46, RN-58</t>
        </is>
      </c>
      <c r="M262" s="6" t="inlineStr">
        <is>
          <t xml:space="preserve"/>
        </is>
      </c>
      <c r="N262" s="6" t="inlineStr">
        <is>
          <t xml:space="preserve">NFR-09.2</t>
        </is>
      </c>
      <c r="O262" s="6" t="inlineStr">
        <is>
          <t xml:space="preserve">NFR-09.2b</t>
        </is>
      </c>
    </row>
    <row r="263">
      <c r="A263" s="6" t="inlineStr">
        <is>
          <t xml:space="preserve">RNF-32</t>
        </is>
      </c>
      <c r="B263" s="4" t="inlineStr">
        <is>
          <t xml:space="preserve">RNF</t>
        </is>
      </c>
      <c r="C263" s="6" t="inlineStr">
        <is>
          <t xml:space="preserve">La solución debe cumplir los objetivos de recuperación ante desastre exigidos.</t>
        </is>
      </c>
      <c r="D263" s="6" t="inlineStr">
        <is>
          <t xml:space="preserve">—</t>
        </is>
      </c>
      <c r="E263" s="6" t="inlineStr">
        <is>
          <t xml:space="preserve">Base tecnológica</t>
        </is>
      </c>
      <c r="F263" s="6" t="inlineStr">
        <is>
          <t xml:space="preserve">Ambos</t>
        </is>
      </c>
      <c r="G263" s="4" t="inlineStr">
        <is>
          <t xml:space="preserve">1</t>
        </is>
      </c>
      <c r="H263" s="4" t="inlineStr">
        <is>
          <t xml:space="preserve">Alta</t>
        </is>
      </c>
      <c r="I263" s="6" t="inlineStr">
        <is>
          <t xml:space="preserve">Ambos</t>
        </is>
      </c>
      <c r="J263" s="6" t="inlineStr">
        <is>
          <t xml:space="preserve">RTO &lt;= 4 h; RPO &lt;= 15 min.</t>
        </is>
      </c>
      <c r="K263" s="6" t="inlineStr">
        <is>
          <t xml:space="preserve">Ensayo de recuperación ante desastre con medicion de RTO y RPO efectivos.</t>
        </is>
      </c>
      <c r="L263" s="6" t="inlineStr">
        <is>
          <t xml:space="preserve">RN-48, RN-58</t>
        </is>
      </c>
      <c r="M263" s="6" t="inlineStr">
        <is>
          <t xml:space="preserve"/>
        </is>
      </c>
      <c r="N263" s="6" t="inlineStr">
        <is>
          <t xml:space="preserve">—</t>
        </is>
      </c>
      <c r="O263" s="6" t="inlineStr">
        <is>
          <t xml:space="preserve">NFR-09.3</t>
        </is>
      </c>
    </row>
    <row r="264">
      <c r="A264" s="6" t="inlineStr">
        <is>
          <t xml:space="preserve">RNF-33</t>
        </is>
      </c>
      <c r="B264" s="4" t="inlineStr">
        <is>
          <t xml:space="preserve">RNF</t>
        </is>
      </c>
      <c r="C264" s="6" t="inlineStr">
        <is>
          <t xml:space="preserve">Los datos de identificación de clientes, la cartera de crédito, el comportamiento de pago y los antecedentes de evaluación crediticia deben cifrarse a nivel de campo.</t>
        </is>
      </c>
      <c r="D264" s="6" t="inlineStr">
        <is>
          <t xml:space="preserve">—</t>
        </is>
      </c>
      <c r="E264" s="6" t="inlineStr">
        <is>
          <t xml:space="preserve">Base tecnológica</t>
        </is>
      </c>
      <c r="F264" s="6" t="inlineStr">
        <is>
          <t xml:space="preserve">Ambos</t>
        </is>
      </c>
      <c r="G264" s="4" t="inlineStr">
        <is>
          <t xml:space="preserve">1</t>
        </is>
      </c>
      <c r="H264" s="4" t="inlineStr">
        <is>
          <t xml:space="preserve">Alta</t>
        </is>
      </c>
      <c r="I264" s="6" t="inlineStr">
        <is>
          <t xml:space="preserve">Filial emisora</t>
        </is>
      </c>
      <c r="J264" s="6" t="inlineStr">
        <is>
          <t xml:space="preserve">100% de campos sensibles cifrados.</t>
        </is>
      </c>
      <c r="K264" s="6" t="inlineStr">
        <is>
          <t xml:space="preserve">Auditoría de esquema de datos y prueba de exfiltracion controlada.</t>
        </is>
      </c>
      <c r="L264" s="6" t="inlineStr">
        <is>
          <t xml:space="preserve">RN-01, RN-03</t>
        </is>
      </c>
      <c r="M264" s="6" t="inlineStr">
        <is>
          <t xml:space="preserve"/>
        </is>
      </c>
      <c r="N264" s="6" t="inlineStr">
        <is>
          <t xml:space="preserve">—</t>
        </is>
      </c>
      <c r="O264" s="6" t="inlineStr">
        <is>
          <t xml:space="preserve">NFR-10.1</t>
        </is>
      </c>
    </row>
    <row r="265">
      <c r="A265" s="6" t="inlineStr">
        <is>
          <t xml:space="preserve">RNF-34</t>
        </is>
      </c>
      <c r="B265" s="4" t="inlineStr">
        <is>
          <t xml:space="preserve">RNF</t>
        </is>
      </c>
      <c r="C265" s="6" t="inlineStr">
        <is>
          <t xml:space="preserve">Los datos de medios de pago no deben almacenarse en claro, sino tokenizarse.</t>
        </is>
      </c>
      <c r="D265" s="6" t="inlineStr">
        <is>
          <t xml:space="preserve">—</t>
        </is>
      </c>
      <c r="E265" s="6" t="inlineStr">
        <is>
          <t xml:space="preserve">Base tecnológica</t>
        </is>
      </c>
      <c r="F265" s="6" t="inlineStr">
        <is>
          <t xml:space="preserve">Ambos</t>
        </is>
      </c>
      <c r="G265" s="4" t="inlineStr">
        <is>
          <t xml:space="preserve">1</t>
        </is>
      </c>
      <c r="H265" s="4" t="inlineStr">
        <is>
          <t xml:space="preserve">Alta</t>
        </is>
      </c>
      <c r="I265" s="6" t="inlineStr">
        <is>
          <t xml:space="preserve">Ambos</t>
        </is>
      </c>
      <c r="J265" s="6" t="inlineStr">
        <is>
          <t xml:space="preserve">0% de datos de medios de pago almacenados sin tokenizar.</t>
        </is>
      </c>
      <c r="K265" s="6" t="inlineStr">
        <is>
          <t xml:space="preserve">Auditoría de esquema y prueba de exfiltracion controlada.</t>
        </is>
      </c>
      <c r="L265" s="6" t="inlineStr">
        <is>
          <t xml:space="preserve">RN-01</t>
        </is>
      </c>
      <c r="M265" s="6" t="inlineStr">
        <is>
          <t xml:space="preserve"/>
        </is>
      </c>
      <c r="N265" s="6" t="inlineStr">
        <is>
          <t xml:space="preserve">—</t>
        </is>
      </c>
      <c r="O265" s="6" t="inlineStr">
        <is>
          <t xml:space="preserve">NFR-10.2</t>
        </is>
      </c>
    </row>
    <row r="266">
      <c r="A266" s="6" t="inlineStr">
        <is>
          <t xml:space="preserve">RNF-35</t>
        </is>
      </c>
      <c r="B266" s="4" t="inlineStr">
        <is>
          <t xml:space="preserve">RNF</t>
        </is>
      </c>
      <c r="C266" s="6" t="inlineStr">
        <is>
          <t xml:space="preserve">La red de cajas, la administrativa, la de videovigilancia y la inalámbrica de clientes deben estar segmentadas en las 22 tiendas.</t>
        </is>
      </c>
      <c r="D266" s="6" t="inlineStr">
        <is>
          <t xml:space="preserve">—</t>
        </is>
      </c>
      <c r="E266" s="6" t="inlineStr">
        <is>
          <t xml:space="preserve">Base tecnológica</t>
        </is>
      </c>
      <c r="F266" s="6" t="inlineStr">
        <is>
          <t xml:space="preserve">Ambos</t>
        </is>
      </c>
      <c r="G266" s="4" t="inlineStr">
        <is>
          <t xml:space="preserve">1</t>
        </is>
      </c>
      <c r="H266" s="4" t="inlineStr">
        <is>
          <t xml:space="preserve">Alta</t>
        </is>
      </c>
      <c r="I266" s="6" t="inlineStr">
        <is>
          <t xml:space="preserve">Retail</t>
        </is>
      </c>
      <c r="J266" s="6" t="inlineStr">
        <is>
          <t xml:space="preserve">22/22 tiendas con segmentacion verificada (hoy 9).</t>
        </is>
      </c>
      <c r="K266" s="6" t="inlineStr">
        <is>
          <t xml:space="preserve">Auditoría de configuracion de red por tienda.</t>
        </is>
      </c>
      <c r="L266" s="6" t="inlineStr">
        <is>
          <t xml:space="preserve">RN-01</t>
        </is>
      </c>
      <c r="M266" s="6" t="inlineStr">
        <is>
          <t xml:space="preserve"/>
        </is>
      </c>
      <c r="N266" s="6" t="inlineStr">
        <is>
          <t xml:space="preserve">—</t>
        </is>
      </c>
      <c r="O266" s="6" t="inlineStr">
        <is>
          <t xml:space="preserve">NFR-11.1</t>
        </is>
      </c>
    </row>
    <row r="267">
      <c r="A267" s="6" t="inlineStr">
        <is>
          <t xml:space="preserve">RNF-36</t>
        </is>
      </c>
      <c r="B267" s="4" t="inlineStr">
        <is>
          <t xml:space="preserve">RNF</t>
        </is>
      </c>
      <c r="C267" s="6" t="inlineStr">
        <is>
          <t xml:space="preserve">La red y el ámbito de sistemas de la filial emisora deben estar separados de forma acreditada respecto del retail.</t>
        </is>
      </c>
      <c r="D267" s="6" t="inlineStr">
        <is>
          <t xml:space="preserve">—</t>
        </is>
      </c>
      <c r="E267" s="6" t="inlineStr">
        <is>
          <t xml:space="preserve">Base tecnológica</t>
        </is>
      </c>
      <c r="F267" s="6" t="inlineStr">
        <is>
          <t xml:space="preserve">Ambos</t>
        </is>
      </c>
      <c r="G267" s="4" t="inlineStr">
        <is>
          <t xml:space="preserve">1</t>
        </is>
      </c>
      <c r="H267" s="4" t="inlineStr">
        <is>
          <t xml:space="preserve">Alta</t>
        </is>
      </c>
      <c r="I267" s="6" t="inlineStr">
        <is>
          <t xml:space="preserve">Filial emisora</t>
        </is>
      </c>
      <c r="J267" s="6" t="inlineStr">
        <is>
          <t xml:space="preserve">Separación acreditada mediante informe técnico.</t>
        </is>
      </c>
      <c r="K267" s="6" t="inlineStr">
        <is>
          <t xml:space="preserve">Auditoría de arquitectura de red.</t>
        </is>
      </c>
      <c r="L267" s="6" t="inlineStr">
        <is>
          <t xml:space="preserve">RN-01</t>
        </is>
      </c>
      <c r="M267" s="6" t="inlineStr">
        <is>
          <t xml:space="preserve"/>
        </is>
      </c>
      <c r="N267" s="6" t="inlineStr">
        <is>
          <t xml:space="preserve">—</t>
        </is>
      </c>
      <c r="O267" s="6" t="inlineStr">
        <is>
          <t xml:space="preserve">NFR-11.2</t>
        </is>
      </c>
    </row>
    <row r="268">
      <c r="A268" s="6" t="inlineStr">
        <is>
          <t xml:space="preserve">RNF-37</t>
        </is>
      </c>
      <c r="B268" s="4" t="inlineStr">
        <is>
          <t xml:space="preserve">RNF</t>
        </is>
      </c>
      <c r="C268" s="6" t="inlineStr">
        <is>
          <t xml:space="preserve">Debe existir segregación de funciones verificable entre originación, aprobación, modificacion de condiciones y cobranza.</t>
        </is>
      </c>
      <c r="D268" s="6" t="inlineStr">
        <is>
          <t xml:space="preserve">—</t>
        </is>
      </c>
      <c r="E268" s="6" t="inlineStr">
        <is>
          <t xml:space="preserve">Base tecnológica</t>
        </is>
      </c>
      <c r="F268" s="6" t="inlineStr">
        <is>
          <t xml:space="preserve">Ambos</t>
        </is>
      </c>
      <c r="G268" s="4" t="inlineStr">
        <is>
          <t xml:space="preserve">1</t>
        </is>
      </c>
      <c r="H268" s="4" t="inlineStr">
        <is>
          <t xml:space="preserve">Alta</t>
        </is>
      </c>
      <c r="I268" s="6" t="inlineStr">
        <is>
          <t xml:space="preserve">Filial emisora</t>
        </is>
      </c>
      <c r="J268" s="6" t="inlineStr">
        <is>
          <t xml:space="preserve">0 usuarios con permisos combinados de originación+aprobación o de modificacion+cobranza sobre un mismo caso.</t>
        </is>
      </c>
      <c r="K268" s="6" t="inlineStr">
        <is>
          <t xml:space="preserve">Auditoría de matriz de roles y permisos.</t>
        </is>
      </c>
      <c r="L268" s="6" t="inlineStr">
        <is>
          <t xml:space="preserve">RN-39, RN-53</t>
        </is>
      </c>
      <c r="M268" s="6" t="inlineStr">
        <is>
          <t xml:space="preserve"/>
        </is>
      </c>
      <c r="N268" s="6" t="inlineStr">
        <is>
          <t xml:space="preserve">—</t>
        </is>
      </c>
      <c r="O268" s="6" t="inlineStr">
        <is>
          <t xml:space="preserve">NFR-12</t>
        </is>
      </c>
    </row>
    <row r="269">
      <c r="A269" s="6" t="inlineStr">
        <is>
          <t xml:space="preserve">RNF-38</t>
        </is>
      </c>
      <c r="B269" s="4" t="inlineStr">
        <is>
          <t xml:space="preserve">RNF</t>
        </is>
      </c>
      <c r="C269" s="6" t="inlineStr">
        <is>
          <t xml:space="preserve">Debe registrarse todo acceso a la cartera de crédito, al comportamiento de pago y a los antecedentes de evaluación crediticia.</t>
        </is>
      </c>
      <c r="D269" s="6" t="inlineStr">
        <is>
          <t xml:space="preserve">—</t>
        </is>
      </c>
      <c r="E269" s="6" t="inlineStr">
        <is>
          <t xml:space="preserve">Base tecnológica</t>
        </is>
      </c>
      <c r="F269" s="6" t="inlineStr">
        <is>
          <t xml:space="preserve">Ambos</t>
        </is>
      </c>
      <c r="G269" s="4" t="inlineStr">
        <is>
          <t xml:space="preserve">1</t>
        </is>
      </c>
      <c r="H269" s="4" t="inlineStr">
        <is>
          <t xml:space="preserve">Alta</t>
        </is>
      </c>
      <c r="I269" s="6" t="inlineStr">
        <is>
          <t xml:space="preserve">Filial emisora</t>
        </is>
      </c>
      <c r="J269" s="6" t="inlineStr">
        <is>
          <t xml:space="preserve">100% de accesos a información sensible con registro (usuario, dato, finalidad, instante).</t>
        </is>
      </c>
      <c r="K269" s="6" t="inlineStr">
        <is>
          <t xml:space="preserve">Auditoría de logs de acceso sobre muestra representativa.</t>
        </is>
      </c>
      <c r="L269" s="6" t="inlineStr">
        <is>
          <t xml:space="preserve">RN-02, RN-03</t>
        </is>
      </c>
      <c r="M269" s="6" t="inlineStr">
        <is>
          <t xml:space="preserve"/>
        </is>
      </c>
      <c r="N269" s="6" t="inlineStr">
        <is>
          <t xml:space="preserve">—</t>
        </is>
      </c>
      <c r="O269" s="6" t="inlineStr">
        <is>
          <t xml:space="preserve">NFR-13</t>
        </is>
      </c>
    </row>
    <row r="270">
      <c r="A270" s="6" t="inlineStr">
        <is>
          <t xml:space="preserve">RNF-39</t>
        </is>
      </c>
      <c r="B270" s="4" t="inlineStr">
        <is>
          <t xml:space="preserve">RNF</t>
        </is>
      </c>
      <c r="C270" s="6" t="inlineStr">
        <is>
          <t xml:space="preserve">Los actos de crédito de apertura de tarjeta y de repactación deben contar con un mecanismo de consentimiento de integridad verificable.</t>
        </is>
      </c>
      <c r="D270" s="6" t="inlineStr">
        <is>
          <t xml:space="preserve">—</t>
        </is>
      </c>
      <c r="E270" s="6" t="inlineStr">
        <is>
          <t xml:space="preserve">Base tecnológica</t>
        </is>
      </c>
      <c r="F270" s="6" t="inlineStr">
        <is>
          <t xml:space="preserve">Ambos</t>
        </is>
      </c>
      <c r="G270" s="4" t="inlineStr">
        <is>
          <t xml:space="preserve">1</t>
        </is>
      </c>
      <c r="H270" s="4" t="inlineStr">
        <is>
          <t xml:space="preserve">Alta</t>
        </is>
      </c>
      <c r="I270" s="6" t="inlineStr">
        <is>
          <t xml:space="preserve">Filial emisora</t>
        </is>
      </c>
      <c r="J270" s="6" t="inlineStr">
        <is>
          <t xml:space="preserve">100 % de aperturas y repactaciones con evidencia de integridad verificable, en la modalidad que la normativa admita para cada canal.</t>
        </is>
      </c>
      <c r="K270" s="6" t="inlineStr">
        <is>
          <t xml:space="preserve">Auditoría censal del período y verificación de la huella de integridad por muestreo.</t>
        </is>
      </c>
      <c r="L270" s="6" t="inlineStr">
        <is>
          <t xml:space="preserve">RN-35, RN-40, RN-41, RN-P04</t>
        </is>
      </c>
      <c r="M270" s="6" t="inlineStr">
        <is>
          <t xml:space="preserve"/>
        </is>
      </c>
      <c r="N270" s="6" t="inlineStr">
        <is>
          <t xml:space="preserve">NFR-14</t>
        </is>
      </c>
      <c r="O270" s="6" t="inlineStr">
        <is>
          <t xml:space="preserve">NFR-14.1</t>
        </is>
      </c>
    </row>
    <row r="271">
      <c r="A271" s="6" t="inlineStr">
        <is>
          <t xml:space="preserve">RNF-40</t>
        </is>
      </c>
      <c r="B271" s="4" t="inlineStr">
        <is>
          <t xml:space="preserve">RNF</t>
        </is>
      </c>
      <c r="C271" s="6" t="inlineStr">
        <is>
          <t xml:space="preserve">La conformidad de recepción de mercadería y la constancia de devolución deben contar con un mecanismo de consentimiento de integridad verificable.</t>
        </is>
      </c>
      <c r="D271" s="6" t="inlineStr">
        <is>
          <t xml:space="preserve">—</t>
        </is>
      </c>
      <c r="E271" s="6" t="inlineStr">
        <is>
          <t xml:space="preserve">Base tecnológica</t>
        </is>
      </c>
      <c r="F271" s="6" t="inlineStr">
        <is>
          <t xml:space="preserve">Ambos</t>
        </is>
      </c>
      <c r="G271" s="4" t="inlineStr">
        <is>
          <t xml:space="preserve">1</t>
        </is>
      </c>
      <c r="H271" s="4" t="inlineStr">
        <is>
          <t xml:space="preserve">Alta</t>
        </is>
      </c>
      <c r="I271" s="6" t="inlineStr">
        <is>
          <t xml:space="preserve">Retail</t>
        </is>
      </c>
      <c r="J271" s="6" t="inlineStr">
        <is>
          <t xml:space="preserve">100 % de conformidades y constancias con evidencia de integridad verificable.</t>
        </is>
      </c>
      <c r="K271" s="6" t="inlineStr">
        <is>
          <t xml:space="preserve">Verificación de la validez de la firma y de la integridad del documento por muestreo.</t>
        </is>
      </c>
      <c r="L271" s="6" t="inlineStr">
        <is>
          <t xml:space="preserve">RN-35, RN-40, RN-41, RN-P04</t>
        </is>
      </c>
      <c r="M271" s="6" t="inlineStr">
        <is>
          <t xml:space="preserve"/>
        </is>
      </c>
      <c r="N271" s="6" t="inlineStr">
        <is>
          <t xml:space="preserve">NFR-14</t>
        </is>
      </c>
      <c r="O271" s="6" t="inlineStr">
        <is>
          <t xml:space="preserve">NFR-14.2</t>
        </is>
      </c>
    </row>
    <row r="272">
      <c r="A272" s="6" t="inlineStr">
        <is>
          <t xml:space="preserve">RNF-41</t>
        </is>
      </c>
      <c r="B272" s="4" t="inlineStr">
        <is>
          <t xml:space="preserve">RNF</t>
        </is>
      </c>
      <c r="C272" s="6" t="inlineStr">
        <is>
          <t xml:space="preserve">Los documentos tributarios y antecedentes de venta deben conservarse por el plazo definido.</t>
        </is>
      </c>
      <c r="D272" s="6" t="inlineStr">
        <is>
          <t xml:space="preserve">—</t>
        </is>
      </c>
      <c r="E272" s="6" t="inlineStr">
        <is>
          <t xml:space="preserve">Base tecnológica</t>
        </is>
      </c>
      <c r="F272" s="6" t="inlineStr">
        <is>
          <t xml:space="preserve">Ambos</t>
        </is>
      </c>
      <c r="G272" s="4" t="inlineStr">
        <is>
          <t xml:space="preserve">1</t>
        </is>
      </c>
      <c r="H272" s="4" t="inlineStr">
        <is>
          <t xml:space="preserve">Alta</t>
        </is>
      </c>
      <c r="I272" s="6" t="inlineStr">
        <is>
          <t xml:space="preserve">Retail</t>
        </is>
      </c>
      <c r="J272" s="6" t="inlineStr">
        <is>
          <t xml:space="preserve">6 años.</t>
        </is>
      </c>
      <c r="K272" s="6" t="inlineStr">
        <is>
          <t xml:space="preserve">Auditoría de politicas de retencion por tipo de dato.</t>
        </is>
      </c>
      <c r="L272" s="6" t="inlineStr">
        <is>
          <t xml:space="preserve">RN-49</t>
        </is>
      </c>
      <c r="M272" s="6" t="inlineStr">
        <is>
          <t xml:space="preserve"/>
        </is>
      </c>
      <c r="N272" s="6" t="inlineStr">
        <is>
          <t xml:space="preserve">—</t>
        </is>
      </c>
      <c r="O272" s="6" t="inlineStr">
        <is>
          <t xml:space="preserve">NFR-15.1</t>
        </is>
      </c>
    </row>
    <row r="273">
      <c r="A273" s="6" t="inlineStr">
        <is>
          <t xml:space="preserve">RNF-42</t>
        </is>
      </c>
      <c r="B273" s="4" t="inlineStr">
        <is>
          <t xml:space="preserve">RNF</t>
        </is>
      </c>
      <c r="C273" s="6" t="inlineStr">
        <is>
          <t xml:space="preserve">Los antecedentes del crédito deben conservarse por el plazo del crédito más el período posterior exigido.</t>
        </is>
      </c>
      <c r="D273" s="6" t="inlineStr">
        <is>
          <t xml:space="preserve">—</t>
        </is>
      </c>
      <c r="E273" s="6" t="inlineStr">
        <is>
          <t xml:space="preserve">Base tecnológica</t>
        </is>
      </c>
      <c r="F273" s="6" t="inlineStr">
        <is>
          <t xml:space="preserve">Ambos</t>
        </is>
      </c>
      <c r="G273" s="4" t="inlineStr">
        <is>
          <t xml:space="preserve">1</t>
        </is>
      </c>
      <c r="H273" s="4" t="inlineStr">
        <is>
          <t xml:space="preserve">Alta</t>
        </is>
      </c>
      <c r="I273" s="6" t="inlineStr">
        <is>
          <t xml:space="preserve">Filial emisora</t>
        </is>
      </c>
      <c r="J273" s="6" t="inlineStr">
        <is>
          <t xml:space="preserve">Plazo del crédito + 6 años (sustituye la practica actual de 90 dias para grabaciones).</t>
        </is>
      </c>
      <c r="K273" s="6" t="inlineStr">
        <is>
          <t xml:space="preserve">Auditoría de retencion y prueba de restauración desde archivo frío.</t>
        </is>
      </c>
      <c r="L273" s="6" t="inlineStr">
        <is>
          <t xml:space="preserve">RN-36</t>
        </is>
      </c>
      <c r="M273" s="6" t="inlineStr">
        <is>
          <t xml:space="preserve"/>
        </is>
      </c>
      <c r="N273" s="6" t="inlineStr">
        <is>
          <t xml:space="preserve">—</t>
        </is>
      </c>
      <c r="O273" s="6" t="inlineStr">
        <is>
          <t xml:space="preserve">NFR-15.2</t>
        </is>
      </c>
    </row>
    <row r="274">
      <c r="A274" s="6" t="inlineStr">
        <is>
          <t xml:space="preserve">RNF-43</t>
        </is>
      </c>
      <c r="B274" s="4" t="inlineStr">
        <is>
          <t xml:space="preserve">RNF</t>
        </is>
      </c>
      <c r="C274" s="6" t="inlineStr">
        <is>
          <t xml:space="preserve">La evidencia de consentimiento de originación y repactación debe conservarse por el mismo plazo que el crédito.</t>
        </is>
      </c>
      <c r="D274" s="6" t="inlineStr">
        <is>
          <t xml:space="preserve">—</t>
        </is>
      </c>
      <c r="E274" s="6" t="inlineStr">
        <is>
          <t xml:space="preserve">Base tecnológica</t>
        </is>
      </c>
      <c r="F274" s="6" t="inlineStr">
        <is>
          <t xml:space="preserve">Ambos</t>
        </is>
      </c>
      <c r="G274" s="4" t="inlineStr">
        <is>
          <t xml:space="preserve">1</t>
        </is>
      </c>
      <c r="H274" s="4" t="inlineStr">
        <is>
          <t xml:space="preserve">Alta</t>
        </is>
      </c>
      <c r="I274" s="6" t="inlineStr">
        <is>
          <t xml:space="preserve">Filial emisora</t>
        </is>
      </c>
      <c r="J274" s="6" t="inlineStr">
        <is>
          <t xml:space="preserve">Plazo del crédito + 6 años; recuperable a 10 años según RN-35.</t>
        </is>
      </c>
      <c r="K274" s="6" t="inlineStr">
        <is>
          <t xml:space="preserve">Auditoría de retencion y prueba de recuperación.</t>
        </is>
      </c>
      <c r="L274" s="6" t="inlineStr">
        <is>
          <t xml:space="preserve">RN-35, RN-36, RN-40</t>
        </is>
      </c>
      <c r="M274" s="6" t="inlineStr">
        <is>
          <t xml:space="preserve"/>
        </is>
      </c>
      <c r="N274" s="6" t="inlineStr">
        <is>
          <t xml:space="preserve">—</t>
        </is>
      </c>
      <c r="O274" s="6" t="inlineStr">
        <is>
          <t xml:space="preserve">NFR-15.3</t>
        </is>
      </c>
    </row>
    <row r="275">
      <c r="A275" s="6" t="inlineStr">
        <is>
          <t xml:space="preserve">RNF-44</t>
        </is>
      </c>
      <c r="B275" s="4" t="inlineStr">
        <is>
          <t xml:space="preserve">RNF</t>
        </is>
      </c>
      <c r="C275" s="6" t="inlineStr">
        <is>
          <t xml:space="preserve">La trazabilidad del precio publicado debe conservarse por el plazo definido.</t>
        </is>
      </c>
      <c r="D275" s="6" t="inlineStr">
        <is>
          <t xml:space="preserve">—</t>
        </is>
      </c>
      <c r="E275" s="6" t="inlineStr">
        <is>
          <t xml:space="preserve">Base tecnológica</t>
        </is>
      </c>
      <c r="F275" s="6" t="inlineStr">
        <is>
          <t xml:space="preserve">Ambos</t>
        </is>
      </c>
      <c r="G275" s="4" t="inlineStr">
        <is>
          <t xml:space="preserve">1</t>
        </is>
      </c>
      <c r="H275" s="4" t="inlineStr">
        <is>
          <t xml:space="preserve">Alta</t>
        </is>
      </c>
      <c r="I275" s="6" t="inlineStr">
        <is>
          <t xml:space="preserve">Retail</t>
        </is>
      </c>
      <c r="J275" s="6" t="inlineStr">
        <is>
          <t xml:space="preserve">3 años.</t>
        </is>
      </c>
      <c r="K275" s="6" t="inlineStr">
        <is>
          <t xml:space="preserve">Auditoría de retencion.</t>
        </is>
      </c>
      <c r="L275" s="6" t="inlineStr">
        <is>
          <t xml:space="preserve">RN-17</t>
        </is>
      </c>
      <c r="M275" s="6" t="inlineStr">
        <is>
          <t xml:space="preserve"/>
        </is>
      </c>
      <c r="N275" s="6" t="inlineStr">
        <is>
          <t xml:space="preserve">—</t>
        </is>
      </c>
      <c r="O275" s="6" t="inlineStr">
        <is>
          <t xml:space="preserve">NFR-15.4</t>
        </is>
      </c>
    </row>
    <row r="276">
      <c r="A276" s="6" t="inlineStr">
        <is>
          <t xml:space="preserve">RNF-45</t>
        </is>
      </c>
      <c r="B276" s="4" t="inlineStr">
        <is>
          <t xml:space="preserve">RNF</t>
        </is>
      </c>
      <c r="C276" s="6" t="inlineStr">
        <is>
          <t xml:space="preserve">Los movimientos de inventario y conteos cíclicos deben conservarse por el plazo definido.</t>
        </is>
      </c>
      <c r="D276" s="6" t="inlineStr">
        <is>
          <t xml:space="preserve">—</t>
        </is>
      </c>
      <c r="E276" s="6" t="inlineStr">
        <is>
          <t xml:space="preserve">Base tecnológica</t>
        </is>
      </c>
      <c r="F276" s="6" t="inlineStr">
        <is>
          <t xml:space="preserve">Ambos</t>
        </is>
      </c>
      <c r="G276" s="4" t="inlineStr">
        <is>
          <t xml:space="preserve">1</t>
        </is>
      </c>
      <c r="H276" s="4" t="inlineStr">
        <is>
          <t xml:space="preserve">Alta</t>
        </is>
      </c>
      <c r="I276" s="6" t="inlineStr">
        <is>
          <t xml:space="preserve">Retail</t>
        </is>
      </c>
      <c r="J276" s="6" t="inlineStr">
        <is>
          <t xml:space="preserve">6 años.</t>
        </is>
      </c>
      <c r="K276" s="6" t="inlineStr">
        <is>
          <t xml:space="preserve">Auditoría de retencion.</t>
        </is>
      </c>
      <c r="L276" s="6" t="inlineStr">
        <is>
          <t xml:space="preserve">RN-13</t>
        </is>
      </c>
      <c r="M276" s="6" t="inlineStr">
        <is>
          <t xml:space="preserve"/>
        </is>
      </c>
      <c r="N276" s="6" t="inlineStr">
        <is>
          <t xml:space="preserve">—</t>
        </is>
      </c>
      <c r="O276" s="6" t="inlineStr">
        <is>
          <t xml:space="preserve">NFR-15.5</t>
        </is>
      </c>
    </row>
    <row r="277">
      <c r="A277" s="6" t="inlineStr">
        <is>
          <t xml:space="preserve">RNF-46</t>
        </is>
      </c>
      <c r="B277" s="4" t="inlineStr">
        <is>
          <t xml:space="preserve">RNF</t>
        </is>
      </c>
      <c r="C277" s="6" t="inlineStr">
        <is>
          <t xml:space="preserve">Los datos de fidelización deben conservarse por el plazo definido.</t>
        </is>
      </c>
      <c r="D277" s="6" t="inlineStr">
        <is>
          <t xml:space="preserve">R:CL-02</t>
        </is>
      </c>
      <c r="E277" s="6" t="inlineStr">
        <is>
          <t xml:space="preserve">Servicio de clientes Retail</t>
        </is>
      </c>
      <c r="F277" s="6" t="inlineStr">
        <is>
          <t xml:space="preserve">Retail</t>
        </is>
      </c>
      <c r="G277" s="4" t="inlineStr">
        <is>
          <t xml:space="preserve">2</t>
        </is>
      </c>
      <c r="H277" s="4" t="inlineStr">
        <is>
          <t xml:space="preserve">Alta</t>
        </is>
      </c>
      <c r="I277" s="6" t="inlineStr">
        <is>
          <t xml:space="preserve">Retail</t>
        </is>
      </c>
      <c r="J277" s="6" t="inlineStr">
        <is>
          <t xml:space="preserve">Duracion de la relacion + 2 años.</t>
        </is>
      </c>
      <c r="K277" s="6" t="inlineStr">
        <is>
          <t xml:space="preserve">Auditoría de retencion.</t>
        </is>
      </c>
      <c r="L277" s="6" t="inlineStr">
        <is>
          <t xml:space="preserve">RN-03</t>
        </is>
      </c>
      <c r="M277" s="6" t="inlineStr">
        <is>
          <t xml:space="preserve">Antes sin servicio dueño. Los datos de fidelización son del servicio de clientes Retail (EXC-15). La retención rige desde que el servicio los gobierna, en la Etapa 2.</t>
        </is>
      </c>
      <c r="N277" s="6" t="inlineStr">
        <is>
          <t xml:space="preserve">—</t>
        </is>
      </c>
      <c r="O277" s="6" t="inlineStr">
        <is>
          <t xml:space="preserve">NFR-15.6</t>
        </is>
      </c>
    </row>
    <row r="278">
      <c r="A278" s="6" t="inlineStr">
        <is>
          <t xml:space="preserve">RNF-47</t>
        </is>
      </c>
      <c r="B278" s="4" t="inlineStr">
        <is>
          <t xml:space="preserve">RNF</t>
        </is>
      </c>
      <c r="C278" s="6" t="inlineStr">
        <is>
          <t xml:space="preserve">Los registros de videovigilancia deben conservarse por el plazo definido.</t>
        </is>
      </c>
      <c r="D278" s="6" t="inlineStr">
        <is>
          <t xml:space="preserve">—</t>
        </is>
      </c>
      <c r="E278" s="6" t="inlineStr">
        <is>
          <t xml:space="preserve">Base tecnológica</t>
        </is>
      </c>
      <c r="F278" s="6" t="inlineStr">
        <is>
          <t xml:space="preserve">Ambos</t>
        </is>
      </c>
      <c r="G278" s="4" t="inlineStr">
        <is>
          <t xml:space="preserve">1</t>
        </is>
      </c>
      <c r="H278" s="4" t="inlineStr">
        <is>
          <t xml:space="preserve">Alta</t>
        </is>
      </c>
      <c r="I278" s="6" t="inlineStr">
        <is>
          <t xml:space="preserve">Retail</t>
        </is>
      </c>
      <c r="J278" s="6" t="inlineStr">
        <is>
          <t xml:space="preserve">30 dias.</t>
        </is>
      </c>
      <c r="K278" s="6" t="inlineStr">
        <is>
          <t xml:space="preserve">Auditoría de retencion.</t>
        </is>
      </c>
      <c r="L278" s="6" t="inlineStr">
        <is>
          <t xml:space="preserve">RN-01</t>
        </is>
      </c>
      <c r="M278" s="6" t="inlineStr">
        <is>
          <t xml:space="preserve"/>
        </is>
      </c>
      <c r="N278" s="6" t="inlineStr">
        <is>
          <t xml:space="preserve">—</t>
        </is>
      </c>
      <c r="O278" s="6" t="inlineStr">
        <is>
          <t xml:space="preserve">NFR-15.7</t>
        </is>
      </c>
    </row>
    <row r="279">
      <c r="A279" s="6" t="inlineStr">
        <is>
          <t xml:space="preserve">RNF-48</t>
        </is>
      </c>
      <c r="B279" s="4" t="inlineStr">
        <is>
          <t xml:space="preserve">RNF</t>
        </is>
      </c>
      <c r="C279" s="6" t="inlineStr">
        <is>
          <t xml:space="preserve">La solución debe admitir la apertura de una tienda nueva por parametrización, sin desarrollo a medida.</t>
        </is>
      </c>
      <c r="D279" s="6" t="inlineStr">
        <is>
          <t xml:space="preserve">—</t>
        </is>
      </c>
      <c r="E279" s="6" t="inlineStr">
        <is>
          <t xml:space="preserve">Base tecnológica</t>
        </is>
      </c>
      <c r="F279" s="6" t="inlineStr">
        <is>
          <t xml:space="preserve">Ambos</t>
        </is>
      </c>
      <c r="G279" s="4" t="inlineStr">
        <is>
          <t xml:space="preserve">1</t>
        </is>
      </c>
      <c r="H279" s="4" t="inlineStr">
        <is>
          <t xml:space="preserve">Alta</t>
        </is>
      </c>
      <c r="I279" s="6" t="inlineStr">
        <is>
          <t xml:space="preserve">Retail</t>
        </is>
      </c>
      <c r="J279" s="6" t="inlineStr">
        <is>
          <t xml:space="preserve">Alta de tienda por configuracion en &lt;= 10 dias habiles (supuesto fundamentado, compatible con una apertura comercial).</t>
        </is>
      </c>
      <c r="K279" s="6" t="inlineStr">
        <is>
          <t xml:space="preserve">Prueba de aprovisionamiento de una tienda simulada.</t>
        </is>
      </c>
      <c r="L279" s="6" t="inlineStr">
        <is>
          <t xml:space="preserve">-</t>
        </is>
      </c>
      <c r="M279" s="6" t="inlineStr">
        <is>
          <t xml:space="preserve"/>
        </is>
      </c>
      <c r="N279" s="6" t="inlineStr">
        <is>
          <t xml:space="preserve">—</t>
        </is>
      </c>
      <c r="O279" s="6" t="inlineStr">
        <is>
          <t xml:space="preserve">NFR-16</t>
        </is>
      </c>
    </row>
    <row r="280">
      <c r="A280" s="6" t="inlineStr">
        <is>
          <t xml:space="preserve">RNF-49</t>
        </is>
      </c>
      <c r="B280" s="4" t="inlineStr">
        <is>
          <t xml:space="preserve">RNF</t>
        </is>
      </c>
      <c r="C280" s="6" t="inlineStr">
        <is>
          <t xml:space="preserve">Las interfaces de sala, caja y mesón financiero deben ser operables por personal recién incorporado con capacitación mínima.</t>
        </is>
      </c>
      <c r="D280" s="6" t="inlineStr">
        <is>
          <t xml:space="preserve">—</t>
        </is>
      </c>
      <c r="E280" s="6" t="inlineStr">
        <is>
          <t xml:space="preserve">Base tecnológica</t>
        </is>
      </c>
      <c r="F280" s="6" t="inlineStr">
        <is>
          <t xml:space="preserve">Ambos</t>
        </is>
      </c>
      <c r="G280" s="4" t="inlineStr">
        <is>
          <t xml:space="preserve">1</t>
        </is>
      </c>
      <c r="H280" s="4" t="inlineStr">
        <is>
          <t xml:space="preserve">Alta</t>
        </is>
      </c>
      <c r="I280" s="6" t="inlineStr">
        <is>
          <t xml:space="preserve">Ambos</t>
        </is>
      </c>
      <c r="J280" s="6" t="inlineStr">
        <is>
          <t xml:space="preserve">Tiempo de capacitación operativa basica &lt;= 4 horas (supuesto fundamentado), medido con personal de temporada.</t>
        </is>
      </c>
      <c r="K280" s="6" t="inlineStr">
        <is>
          <t xml:space="preserve">Prueba de usabilidad con personal recién incorporado en condiciones reales.</t>
        </is>
      </c>
      <c r="L280" s="6" t="inlineStr">
        <is>
          <t xml:space="preserve">RN-50, RN-53</t>
        </is>
      </c>
      <c r="M280" s="6" t="inlineStr">
        <is>
          <t xml:space="preserve"/>
        </is>
      </c>
      <c r="N280" s="6" t="inlineStr">
        <is>
          <t xml:space="preserve">—</t>
        </is>
      </c>
      <c r="O280" s="6" t="inlineStr">
        <is>
          <t xml:space="preserve">NFR-17</t>
        </is>
      </c>
    </row>
    <row r="281">
      <c r="A281" s="6" t="inlineStr">
        <is>
          <t xml:space="preserve">RNF-50</t>
        </is>
      </c>
      <c r="B281" s="4" t="inlineStr">
        <is>
          <t xml:space="preserve">RNF</t>
        </is>
      </c>
      <c r="C281" s="6" t="inlineStr">
        <is>
          <t xml:space="preserve">Toda comunicación relativa al crédito debe cumplir criterios verificables de lenguaje claro, validados con personas usuarias reales.</t>
        </is>
      </c>
      <c r="D281" s="6" t="inlineStr">
        <is>
          <t xml:space="preserve">—</t>
        </is>
      </c>
      <c r="E281" s="6" t="inlineStr">
        <is>
          <t xml:space="preserve">Base tecnológica</t>
        </is>
      </c>
      <c r="F281" s="6" t="inlineStr">
        <is>
          <t xml:space="preserve">Ambos</t>
        </is>
      </c>
      <c r="G281" s="4" t="inlineStr">
        <is>
          <t xml:space="preserve">1</t>
        </is>
      </c>
      <c r="H281" s="4" t="inlineStr">
        <is>
          <t xml:space="preserve">Alta</t>
        </is>
      </c>
      <c r="I281" s="6" t="inlineStr">
        <is>
          <t xml:space="preserve">Filial emisora</t>
        </is>
      </c>
      <c r="J281" s="6" t="inlineStr">
        <is>
          <t xml:space="preserve">100% de plantillas validadas con pruebas de comprension lectora con usuarios reales.</t>
        </is>
      </c>
      <c r="K281" s="6" t="inlineStr">
        <is>
          <t xml:space="preserve">Prueba de comprension lectora sobre muestra de plantillas.</t>
        </is>
      </c>
      <c r="L281" s="6" t="inlineStr">
        <is>
          <t xml:space="preserve">RN-34, RN-41</t>
        </is>
      </c>
      <c r="M281" s="6" t="inlineStr">
        <is>
          <t xml:space="preserve"/>
        </is>
      </c>
      <c r="N281" s="6" t="inlineStr">
        <is>
          <t xml:space="preserve">—</t>
        </is>
      </c>
      <c r="O281" s="6" t="inlineStr">
        <is>
          <t xml:space="preserve">NFR-18</t>
        </is>
      </c>
    </row>
    <row r="282">
      <c r="A282" s="6" t="inlineStr">
        <is>
          <t xml:space="preserve">RNF-51</t>
        </is>
      </c>
      <c r="B282" s="4" t="inlineStr">
        <is>
          <t xml:space="preserve">RNF</t>
        </is>
      </c>
      <c r="C282" s="6" t="inlineStr">
        <is>
          <t xml:space="preserve">Las notificaciones definidas funcionalmente deben emitirse y registrarse en el 100% de los eventos que las gatillan.</t>
        </is>
      </c>
      <c r="D282" s="6" t="inlineStr">
        <is>
          <t xml:space="preserve">—</t>
        </is>
      </c>
      <c r="E282" s="6" t="inlineStr">
        <is>
          <t xml:space="preserve">Base tecnológica</t>
        </is>
      </c>
      <c r="F282" s="6" t="inlineStr">
        <is>
          <t xml:space="preserve">Ambos</t>
        </is>
      </c>
      <c r="G282" s="4" t="inlineStr">
        <is>
          <t xml:space="preserve">1</t>
        </is>
      </c>
      <c r="H282" s="4" t="inlineStr">
        <is>
          <t xml:space="preserve">Alta</t>
        </is>
      </c>
      <c r="I282" s="6" t="inlineStr">
        <is>
          <t xml:space="preserve">Ambos</t>
        </is>
      </c>
      <c r="J282" s="6" t="inlineStr">
        <is>
          <t xml:space="preserve">100% de eventos definidos con notificacion generada y registrada.</t>
        </is>
      </c>
      <c r="K282" s="6" t="inlineStr">
        <is>
          <t xml:space="preserve">Prueba de disparo de eventos y verificacion del registro.</t>
        </is>
      </c>
      <c r="L282" s="6" t="inlineStr">
        <is>
          <t xml:space="preserve">RN-23, RN-28, RN-11</t>
        </is>
      </c>
      <c r="M282" s="6" t="inlineStr">
        <is>
          <t xml:space="preserve"/>
        </is>
      </c>
      <c r="N282" s="6" t="inlineStr">
        <is>
          <t xml:space="preserve">—</t>
        </is>
      </c>
      <c r="O282" s="6" t="inlineStr">
        <is>
          <t xml:space="preserve">NFR-19</t>
        </is>
      </c>
    </row>
    <row r="283">
      <c r="A283" s="6" t="inlineStr">
        <is>
          <t xml:space="preserve">RNF-52</t>
        </is>
      </c>
      <c r="B283" s="4" t="inlineStr">
        <is>
          <t xml:space="preserve">RNF</t>
        </is>
      </c>
      <c r="C283" s="6" t="inlineStr">
        <is>
          <t xml:space="preserve">La solución debe adoptar un estándar identificado y justificado para el catálogo e identificación de producto.</t>
        </is>
      </c>
      <c r="D283" s="6" t="inlineStr">
        <is>
          <t xml:space="preserve">—</t>
        </is>
      </c>
      <c r="E283" s="6" t="inlineStr">
        <is>
          <t xml:space="preserve">Base tecnológica</t>
        </is>
      </c>
      <c r="F283" s="6" t="inlineStr">
        <is>
          <t xml:space="preserve">Ambos</t>
        </is>
      </c>
      <c r="G283" s="4" t="inlineStr">
        <is>
          <t xml:space="preserve">1</t>
        </is>
      </c>
      <c r="H283" s="4" t="inlineStr">
        <is>
          <t xml:space="preserve">Alta</t>
        </is>
      </c>
      <c r="I283" s="6" t="inlineStr">
        <is>
          <t xml:space="preserve">Retail</t>
        </is>
      </c>
      <c r="J283" s="6" t="inlineStr">
        <is>
          <t xml:space="preserve">Estándar identificado por su denominación y justificado en la Oferta Técnica.</t>
        </is>
      </c>
      <c r="K283" s="6" t="inlineStr">
        <is>
          <t xml:space="preserve">Prueba de interoperabilidad con al menos una contraparte real del dominio.</t>
        </is>
      </c>
      <c r="L283" s="6" t="inlineStr">
        <is>
          <t xml:space="preserve">RN-49, RN-32</t>
        </is>
      </c>
      <c r="M283" s="6" t="inlineStr">
        <is>
          <t xml:space="preserve"/>
        </is>
      </c>
      <c r="N283" s="6" t="inlineStr">
        <is>
          <t xml:space="preserve">NFR-20</t>
        </is>
      </c>
      <c r="O283" s="6" t="inlineStr">
        <is>
          <t xml:space="preserve">NFR-20.1</t>
        </is>
      </c>
    </row>
    <row r="284">
      <c r="A284" s="6" t="inlineStr">
        <is>
          <t xml:space="preserve">RNF-53</t>
        </is>
      </c>
      <c r="B284" s="4" t="inlineStr">
        <is>
          <t xml:space="preserve">RNF</t>
        </is>
      </c>
      <c r="C284" s="6" t="inlineStr">
        <is>
          <t xml:space="preserve">La solución debe adoptar un estándar identificado y justificado para el intercambio de órdenes y avisos de despacho con los proveedores.</t>
        </is>
      </c>
      <c r="D284" s="6" t="inlineStr">
        <is>
          <t xml:space="preserve">—</t>
        </is>
      </c>
      <c r="E284" s="6" t="inlineStr">
        <is>
          <t xml:space="preserve">Base tecnológica</t>
        </is>
      </c>
      <c r="F284" s="6" t="inlineStr">
        <is>
          <t xml:space="preserve">Ambos</t>
        </is>
      </c>
      <c r="G284" s="4" t="inlineStr">
        <is>
          <t xml:space="preserve">1</t>
        </is>
      </c>
      <c r="H284" s="4" t="inlineStr">
        <is>
          <t xml:space="preserve">Alta</t>
        </is>
      </c>
      <c r="I284" s="6" t="inlineStr">
        <is>
          <t xml:space="preserve">Retail</t>
        </is>
      </c>
      <c r="J284" s="6" t="inlineStr">
        <is>
          <t xml:space="preserve">Estándar identificado y justificado; 100 % de las interfaces con proveedores mapeadas a él.</t>
        </is>
      </c>
      <c r="K284" s="6" t="inlineStr">
        <is>
          <t xml:space="preserve">Prueba de intercambio con un proveedor piloto.</t>
        </is>
      </c>
      <c r="L284" s="6" t="inlineStr">
        <is>
          <t xml:space="preserve">RN-49, RN-32</t>
        </is>
      </c>
      <c r="M284" s="6" t="inlineStr">
        <is>
          <t xml:space="preserve"/>
        </is>
      </c>
      <c r="N284" s="6" t="inlineStr">
        <is>
          <t xml:space="preserve">NFR-20</t>
        </is>
      </c>
      <c r="O284" s="6" t="inlineStr">
        <is>
          <t xml:space="preserve">NFR-20.2</t>
        </is>
      </c>
    </row>
    <row r="285">
      <c r="A285" s="6" t="inlineStr">
        <is>
          <t xml:space="preserve">RNF-54</t>
        </is>
      </c>
      <c r="B285" s="4" t="inlineStr">
        <is>
          <t xml:space="preserve">RNF</t>
        </is>
      </c>
      <c r="C285" s="6" t="inlineStr">
        <is>
          <t xml:space="preserve">La solución debe adoptar un estándar identificado y justificado para el intercambio con los transportistas de última milla.</t>
        </is>
      </c>
      <c r="D285" s="6" t="inlineStr">
        <is>
          <t xml:space="preserve">—</t>
        </is>
      </c>
      <c r="E285" s="6" t="inlineStr">
        <is>
          <t xml:space="preserve">Base tecnológica</t>
        </is>
      </c>
      <c r="F285" s="6" t="inlineStr">
        <is>
          <t xml:space="preserve">Ambos</t>
        </is>
      </c>
      <c r="G285" s="4" t="inlineStr">
        <is>
          <t xml:space="preserve">1</t>
        </is>
      </c>
      <c r="H285" s="4" t="inlineStr">
        <is>
          <t xml:space="preserve">Alta</t>
        </is>
      </c>
      <c r="I285" s="6" t="inlineStr">
        <is>
          <t xml:space="preserve">Retail</t>
        </is>
      </c>
      <c r="J285" s="6" t="inlineStr">
        <is>
          <t xml:space="preserve">Estándar identificado y justificado; trazabilidad del estado del pedido hasta la entrega.</t>
        </is>
      </c>
      <c r="K285" s="6" t="inlineStr">
        <is>
          <t xml:space="preserve">Prueba de integración con un transportista piloto.</t>
        </is>
      </c>
      <c r="L285" s="6" t="inlineStr">
        <is>
          <t xml:space="preserve">RN-49, RN-32</t>
        </is>
      </c>
      <c r="M285" s="6" t="inlineStr">
        <is>
          <t xml:space="preserve"/>
        </is>
      </c>
      <c r="N285" s="6" t="inlineStr">
        <is>
          <t xml:space="preserve">NFR-20</t>
        </is>
      </c>
      <c r="O285" s="6" t="inlineStr">
        <is>
          <t xml:space="preserve">NFR-20.3</t>
        </is>
      </c>
    </row>
    <row r="286">
      <c r="A286" s="6" t="inlineStr">
        <is>
          <t xml:space="preserve">RNF-55</t>
        </is>
      </c>
      <c r="B286" s="4" t="inlineStr">
        <is>
          <t xml:space="preserve">RNF</t>
        </is>
      </c>
      <c r="C286" s="6" t="inlineStr">
        <is>
          <t xml:space="preserve">La solución debe adoptar un estándar identificado y justificado para la sincronización de catálogo, existencia y pedido con los vendedores de marketplace.</t>
        </is>
      </c>
      <c r="D286" s="6" t="inlineStr">
        <is>
          <t xml:space="preserve">—</t>
        </is>
      </c>
      <c r="E286" s="6" t="inlineStr">
        <is>
          <t xml:space="preserve">Base tecnológica</t>
        </is>
      </c>
      <c r="F286" s="6" t="inlineStr">
        <is>
          <t xml:space="preserve">Ambos</t>
        </is>
      </c>
      <c r="G286" s="4" t="inlineStr">
        <is>
          <t xml:space="preserve">2</t>
        </is>
      </c>
      <c r="H286" s="4" t="inlineStr">
        <is>
          <t xml:space="preserve">Alta</t>
        </is>
      </c>
      <c r="I286" s="6" t="inlineStr">
        <is>
          <t xml:space="preserve">Retail</t>
        </is>
      </c>
      <c r="J286" s="6" t="inlineStr">
        <is>
          <t xml:space="preserve">Estándar identificado y justificado; 100 % de vendedores sincronizados por él.</t>
        </is>
      </c>
      <c r="K286" s="6" t="inlineStr">
        <is>
          <t xml:space="preserve">Prueba de sincronización con un vendedor piloto.</t>
        </is>
      </c>
      <c r="L286" s="6" t="inlineStr">
        <is>
          <t xml:space="preserve">RN-49, RN-32</t>
        </is>
      </c>
      <c r="M286" s="6" t="inlineStr">
        <is>
          <t xml:space="preserve">Mide el servicio de marketplace, de la Etapa 2.</t>
        </is>
      </c>
      <c r="N286" s="6" t="inlineStr">
        <is>
          <t xml:space="preserve">NFR-20</t>
        </is>
      </c>
      <c r="O286" s="6" t="inlineStr">
        <is>
          <t xml:space="preserve">NFR-20.4</t>
        </is>
      </c>
    </row>
    <row r="287">
      <c r="A287" s="6" t="inlineStr">
        <is>
          <t xml:space="preserve">RNF-56</t>
        </is>
      </c>
      <c r="B287" s="4" t="inlineStr">
        <is>
          <t xml:space="preserve">RNF</t>
        </is>
      </c>
      <c r="C287" s="6" t="inlineStr">
        <is>
          <t xml:space="preserve">La solución debe adoptar el formato normativo vigente de documento tributario electrónico.</t>
        </is>
      </c>
      <c r="D287" s="6" t="inlineStr">
        <is>
          <t xml:space="preserve">—</t>
        </is>
      </c>
      <c r="E287" s="6" t="inlineStr">
        <is>
          <t xml:space="preserve">Base tecnológica</t>
        </is>
      </c>
      <c r="F287" s="6" t="inlineStr">
        <is>
          <t xml:space="preserve">Ambos</t>
        </is>
      </c>
      <c r="G287" s="4" t="inlineStr">
        <is>
          <t xml:space="preserve">1</t>
        </is>
      </c>
      <c r="H287" s="4" t="inlineStr">
        <is>
          <t xml:space="preserve">Alta</t>
        </is>
      </c>
      <c r="I287" s="6" t="inlineStr">
        <is>
          <t xml:space="preserve">Retail</t>
        </is>
      </c>
      <c r="J287" s="6" t="inlineStr">
        <is>
          <t xml:space="preserve">100 % de los documentos emitidos conforme al formato vigente de la autoridad tributaria.</t>
        </is>
      </c>
      <c r="K287" s="6" t="inlineStr">
        <is>
          <t xml:space="preserve">Validación de esquema sobre una muestra de documentos emitidos.</t>
        </is>
      </c>
      <c r="L287" s="6" t="inlineStr">
        <is>
          <t xml:space="preserve">RN-49, RN-32</t>
        </is>
      </c>
      <c r="M287" s="6" t="inlineStr">
        <is>
          <t xml:space="preserve"/>
        </is>
      </c>
      <c r="N287" s="6" t="inlineStr">
        <is>
          <t xml:space="preserve">NFR-20</t>
        </is>
      </c>
      <c r="O287" s="6" t="inlineStr">
        <is>
          <t xml:space="preserve">NFR-20.5</t>
        </is>
      </c>
    </row>
    <row r="288">
      <c r="A288" s="6" t="inlineStr">
        <is>
          <t xml:space="preserve">RNF-57</t>
        </is>
      </c>
      <c r="B288" s="4" t="inlineStr">
        <is>
          <t xml:space="preserve">RNF</t>
        </is>
      </c>
      <c r="C288" s="6" t="inlineStr">
        <is>
          <t xml:space="preserve">La evidencia completa de consentimiento de una operación arbitraria debe recuperarse dentro del plazo objetivo, a diez años.</t>
        </is>
      </c>
      <c r="D288" s="6" t="inlineStr">
        <is>
          <t xml:space="preserve">—</t>
        </is>
      </c>
      <c r="E288" s="6" t="inlineStr">
        <is>
          <t xml:space="preserve">Base tecnológica</t>
        </is>
      </c>
      <c r="F288" s="6" t="inlineStr">
        <is>
          <t xml:space="preserve">Ambos</t>
        </is>
      </c>
      <c r="G288" s="4" t="inlineStr">
        <is>
          <t xml:space="preserve">1</t>
        </is>
      </c>
      <c r="H288" s="4" t="inlineStr">
        <is>
          <t xml:space="preserve">Alta</t>
        </is>
      </c>
      <c r="I288" s="6" t="inlineStr">
        <is>
          <t xml:space="preserve">Filial emisora</t>
        </is>
      </c>
      <c r="J288" s="6" t="inlineStr">
        <is>
          <t xml:space="preserve">Recuperación &lt;= 5 minutos (supuesto fundamentado) sobre operaciones de hasta 10 años de antiguedad.</t>
        </is>
      </c>
      <c r="K288" s="6" t="inlineStr">
        <is>
          <t xml:space="preserve">Simulacro de requerimiento de la autoridad fiscalizadora.</t>
        </is>
      </c>
      <c r="L288" s="6" t="inlineStr">
        <is>
          <t xml:space="preserve">RN-35, RN-41</t>
        </is>
      </c>
      <c r="M288" s="6" t="inlineStr">
        <is>
          <t xml:space="preserve"/>
        </is>
      </c>
      <c r="N288" s="6" t="inlineStr">
        <is>
          <t xml:space="preserve">—</t>
        </is>
      </c>
      <c r="O288" s="6" t="inlineStr">
        <is>
          <t xml:space="preserve">NFR-22</t>
        </is>
      </c>
    </row>
    <row r="289">
      <c r="A289" s="6" t="inlineStr">
        <is>
          <t xml:space="preserve">RNF-58</t>
        </is>
      </c>
      <c r="B289" s="4" t="inlineStr">
        <is>
          <t xml:space="preserve">RNF</t>
        </is>
      </c>
      <c r="C289" s="6" t="inlineStr">
        <is>
          <t xml:space="preserve">La recuperación del precio publicado de una referencia en una fecha, hora y canal arbitrarios debe completarse dentro del plazo objetivo.</t>
        </is>
      </c>
      <c r="D289" s="6" t="inlineStr">
        <is>
          <t xml:space="preserve">—</t>
        </is>
      </c>
      <c r="E289" s="6" t="inlineStr">
        <is>
          <t xml:space="preserve">Base tecnológica</t>
        </is>
      </c>
      <c r="F289" s="6" t="inlineStr">
        <is>
          <t xml:space="preserve">Ambos</t>
        </is>
      </c>
      <c r="G289" s="4" t="inlineStr">
        <is>
          <t xml:space="preserve">1</t>
        </is>
      </c>
      <c r="H289" s="4" t="inlineStr">
        <is>
          <t xml:space="preserve">Alta</t>
        </is>
      </c>
      <c r="I289" s="6" t="inlineStr">
        <is>
          <t xml:space="preserve">Retail</t>
        </is>
      </c>
      <c r="J289" s="6" t="inlineStr">
        <is>
          <t xml:space="preserve">&lt;= 1 minuto, sobre una ventana de 3 años.</t>
        </is>
      </c>
      <c r="K289" s="6" t="inlineStr">
        <is>
          <t xml:space="preserve">Consulta de auditoría sobre fecha/hora/canal aleatorios.</t>
        </is>
      </c>
      <c r="L289" s="6" t="inlineStr">
        <is>
          <t xml:space="preserve">RN-17</t>
        </is>
      </c>
      <c r="M289" s="6" t="inlineStr">
        <is>
          <t xml:space="preserve"/>
        </is>
      </c>
      <c r="N289" s="6" t="inlineStr">
        <is>
          <t xml:space="preserve">—</t>
        </is>
      </c>
      <c r="O289" s="6" t="inlineStr">
        <is>
          <t xml:space="preserve">NFR-23</t>
        </is>
      </c>
    </row>
    <row r="290">
      <c r="A290" s="6" t="inlineStr">
        <is>
          <t xml:space="preserve">RNF-59</t>
        </is>
      </c>
      <c r="B290" s="4" t="inlineStr">
        <is>
          <t xml:space="preserve">RNF</t>
        </is>
      </c>
      <c r="C290" s="6" t="inlineStr">
        <is>
          <t xml:space="preserve">La revocación total de accesos de un trabajador debe completarse dentro del plazo máximo de la política interna.</t>
        </is>
      </c>
      <c r="D290" s="6" t="inlineStr">
        <is>
          <t xml:space="preserve">—</t>
        </is>
      </c>
      <c r="E290" s="6" t="inlineStr">
        <is>
          <t xml:space="preserve">Base tecnológica</t>
        </is>
      </c>
      <c r="F290" s="6" t="inlineStr">
        <is>
          <t xml:space="preserve">Ambos</t>
        </is>
      </c>
      <c r="G290" s="4" t="inlineStr">
        <is>
          <t xml:space="preserve">1</t>
        </is>
      </c>
      <c r="H290" s="4" t="inlineStr">
        <is>
          <t xml:space="preserve">Alta</t>
        </is>
      </c>
      <c r="I290" s="6" t="inlineStr">
        <is>
          <t xml:space="preserve">Ambos</t>
        </is>
      </c>
      <c r="J290" s="6" t="inlineStr">
        <is>
          <t xml:space="preserve">&lt;= 4 horas desde el término efectivo del vínculo (supuesto fundamentado).</t>
        </is>
      </c>
      <c r="K290" s="6" t="inlineStr">
        <is>
          <t xml:space="preserve">Auditoría de accesos vigentes contra nómina activa.</t>
        </is>
      </c>
      <c r="L290" s="6" t="inlineStr">
        <is>
          <t xml:space="preserve">RN-52</t>
        </is>
      </c>
      <c r="M290" s="6" t="inlineStr">
        <is>
          <t xml:space="preserve"/>
        </is>
      </c>
      <c r="N290" s="6" t="inlineStr">
        <is>
          <t xml:space="preserve">—</t>
        </is>
      </c>
      <c r="O290" s="6" t="inlineStr">
        <is>
          <t xml:space="preserve">NFR-24</t>
        </is>
      </c>
    </row>
    <row r="291">
      <c r="A291" s="6" t="inlineStr">
        <is>
          <t xml:space="preserve">RNF-60</t>
        </is>
      </c>
      <c r="B291" s="4" t="inlineStr">
        <is>
          <t xml:space="preserve">RNF</t>
        </is>
      </c>
      <c r="C291" s="6" t="inlineStr">
        <is>
          <t xml:space="preserve">El traspaso de sesión nominativa en una terminal compartida debe completarse dentro del plazo objetivo.</t>
        </is>
      </c>
      <c r="D291" s="6" t="inlineStr">
        <is>
          <t xml:space="preserve">—</t>
        </is>
      </c>
      <c r="E291" s="6" t="inlineStr">
        <is>
          <t xml:space="preserve">Base tecnológica</t>
        </is>
      </c>
      <c r="F291" s="6" t="inlineStr">
        <is>
          <t xml:space="preserve">Ambos</t>
        </is>
      </c>
      <c r="G291" s="4" t="inlineStr">
        <is>
          <t xml:space="preserve">1</t>
        </is>
      </c>
      <c r="H291" s="4" t="inlineStr">
        <is>
          <t xml:space="preserve">Alta</t>
        </is>
      </c>
      <c r="I291" s="6" t="inlineStr">
        <is>
          <t xml:space="preserve">Ambos</t>
        </is>
      </c>
      <c r="J291" s="6" t="inlineStr">
        <is>
          <t xml:space="preserve">&lt;= 5 segundos (supuesto fundamentado).</t>
        </is>
      </c>
      <c r="K291" s="6" t="inlineStr">
        <is>
          <t xml:space="preserve">Medicion de tiempo de traspaso en terminal de sala.</t>
        </is>
      </c>
      <c r="L291" s="6" t="inlineStr">
        <is>
          <t xml:space="preserve">RN-50</t>
        </is>
      </c>
      <c r="M291" s="6" t="inlineStr">
        <is>
          <t xml:space="preserve"/>
        </is>
      </c>
      <c r="N291" s="6" t="inlineStr">
        <is>
          <t xml:space="preserve">—</t>
        </is>
      </c>
      <c r="O291" s="6" t="inlineStr">
        <is>
          <t xml:space="preserve">NFR-25</t>
        </is>
      </c>
    </row>
    <row r="292">
      <c r="A292" s="6" t="inlineStr">
        <is>
          <t xml:space="preserve">RNF-64</t>
        </is>
      </c>
      <c r="B292" s="4" t="inlineStr">
        <is>
          <t xml:space="preserve">RNF</t>
        </is>
      </c>
      <c r="C292" s="6" t="inlineStr">
        <is>
          <t xml:space="preserve">El tiempo entre la detección de un quiebre y el aviso al cliente no debe superar el objetivo declarado.</t>
        </is>
      </c>
      <c r="D292" s="6" t="inlineStr">
        <is>
          <t xml:space="preserve">—</t>
        </is>
      </c>
      <c r="E292" s="6" t="inlineStr">
        <is>
          <t xml:space="preserve">Base tecnológica</t>
        </is>
      </c>
      <c r="F292" s="6" t="inlineStr">
        <is>
          <t xml:space="preserve">Ambos</t>
        </is>
      </c>
      <c r="G292" s="4" t="inlineStr">
        <is>
          <t xml:space="preserve">2</t>
        </is>
      </c>
      <c r="H292" s="4" t="inlineStr">
        <is>
          <t xml:space="preserve">Alta</t>
        </is>
      </c>
      <c r="I292" s="6" t="inlineStr">
        <is>
          <t xml:space="preserve">Retail</t>
        </is>
      </c>
      <c r="J292" s="6" t="inlineStr">
        <is>
          <t xml:space="preserve">&lt;= 30 minutos (supuesto fundamentado).</t>
        </is>
      </c>
      <c r="K292" s="6" t="inlineStr">
        <is>
          <t xml:space="preserve">Medición de la latencia entre el evento de quiebre y el envío de la notificación.</t>
        </is>
      </c>
      <c r="L292" s="6" t="inlineStr">
        <is>
          <t xml:space="preserve">RN-23</t>
        </is>
      </c>
      <c r="M292" s="6" t="inlineStr">
        <is>
          <t xml:space="preserve">Mide el servicio de pedidos, de la Etapa 2.</t>
        </is>
      </c>
      <c r="N292" s="6" t="inlineStr">
        <is>
          <t xml:space="preserve">NFR-29</t>
        </is>
      </c>
      <c r="O292" s="6" t="inlineStr">
        <is>
          <t xml:space="preserve">NFR-29a</t>
        </is>
      </c>
    </row>
    <row r="293">
      <c r="A293" s="6" t="inlineStr">
        <is>
          <t xml:space="preserve">RNF-65</t>
        </is>
      </c>
      <c r="B293" s="4" t="inlineStr">
        <is>
          <t xml:space="preserve">RNF</t>
        </is>
      </c>
      <c r="C293" s="6" t="inlineStr">
        <is>
          <t xml:space="preserve">No debe mantenerse un cobro capturado sobre un pedido declarado no cumplible.</t>
        </is>
      </c>
      <c r="D293" s="6" t="inlineStr">
        <is>
          <t xml:space="preserve">—</t>
        </is>
      </c>
      <c r="E293" s="6" t="inlineStr">
        <is>
          <t xml:space="preserve">Base tecnológica</t>
        </is>
      </c>
      <c r="F293" s="6" t="inlineStr">
        <is>
          <t xml:space="preserve">Ambos</t>
        </is>
      </c>
      <c r="G293" s="4" t="inlineStr">
        <is>
          <t xml:space="preserve">2</t>
        </is>
      </c>
      <c r="H293" s="4" t="inlineStr">
        <is>
          <t xml:space="preserve">Alta</t>
        </is>
      </c>
      <c r="I293" s="6" t="inlineStr">
        <is>
          <t xml:space="preserve">Retail</t>
        </is>
      </c>
      <c r="J293" s="6" t="inlineStr">
        <is>
          <t xml:space="preserve">0 casos de cobro sostenido sobre pedido no cumplible.</t>
        </is>
      </c>
      <c r="K293" s="6" t="inlineStr">
        <is>
          <t xml:space="preserve">Auditoría de conciliación diaria de preautorizaciones y capturas (RF-050).</t>
        </is>
      </c>
      <c r="L293" s="6" t="inlineStr">
        <is>
          <t xml:space="preserve">RN-23</t>
        </is>
      </c>
      <c r="M293" s="6" t="inlineStr">
        <is>
          <t xml:space="preserve">Mide el servicio de pedidos, de la Etapa 2.</t>
        </is>
      </c>
      <c r="N293" s="6" t="inlineStr">
        <is>
          <t xml:space="preserve">NFR-29</t>
        </is>
      </c>
      <c r="O293" s="6" t="inlineStr">
        <is>
          <t xml:space="preserve">NFR-29b</t>
        </is>
      </c>
    </row>
    <row r="294">
      <c r="A294" s="6" t="inlineStr">
        <is>
          <t xml:space="preserve">RNF-66</t>
        </is>
      </c>
      <c r="B294" s="4" t="inlineStr">
        <is>
          <t xml:space="preserve">RNF</t>
        </is>
      </c>
      <c r="C294" s="6" t="inlineStr">
        <is>
          <t xml:space="preserve">La latencia entre la recepción física de una devolución en tienda y la notificación al vendedor de marketplace no debe superar el objetivo declarado.</t>
        </is>
      </c>
      <c r="D294" s="6" t="inlineStr">
        <is>
          <t xml:space="preserve">—</t>
        </is>
      </c>
      <c r="E294" s="6" t="inlineStr">
        <is>
          <t xml:space="preserve">Base tecnológica</t>
        </is>
      </c>
      <c r="F294" s="6" t="inlineStr">
        <is>
          <t xml:space="preserve">Ambos</t>
        </is>
      </c>
      <c r="G294" s="4" t="inlineStr">
        <is>
          <t xml:space="preserve">2</t>
        </is>
      </c>
      <c r="H294" s="4" t="inlineStr">
        <is>
          <t xml:space="preserve">Alta</t>
        </is>
      </c>
      <c r="I294" s="6" t="inlineStr">
        <is>
          <t xml:space="preserve">Retail</t>
        </is>
      </c>
      <c r="J294" s="6" t="inlineStr">
        <is>
          <t xml:space="preserve">&lt;= 15 minutos (supuesto fundamentado).</t>
        </is>
      </c>
      <c r="K294" s="6" t="inlineStr">
        <is>
          <t xml:space="preserve">Medición de la latencia entre el registro de recepción y el envío de la notificación.</t>
        </is>
      </c>
      <c r="L294" s="6" t="inlineStr">
        <is>
          <t xml:space="preserve">RN-28</t>
        </is>
      </c>
      <c r="M294" s="6" t="inlineStr">
        <is>
          <t xml:space="preserve">Mide el servicio de marketplace, de la Etapa 2.</t>
        </is>
      </c>
      <c r="N294" s="6" t="inlineStr">
        <is>
          <t xml:space="preserve">NFR-30</t>
        </is>
      </c>
      <c r="O294" s="6" t="inlineStr">
        <is>
          <t xml:space="preserve">NFR-30a</t>
        </is>
      </c>
    </row>
    <row r="295">
      <c r="A295" s="6" t="inlineStr">
        <is>
          <t xml:space="preserve">RNF-67</t>
        </is>
      </c>
      <c r="B295" s="4" t="inlineStr">
        <is>
          <t xml:space="preserve">RNF</t>
        </is>
      </c>
      <c r="C295" s="6" t="inlineStr">
        <is>
          <t xml:space="preserve">No debe permanecer mercadería de marketplace en bodega sin aviso a su propietario.</t>
        </is>
      </c>
      <c r="D295" s="6" t="inlineStr">
        <is>
          <t xml:space="preserve">—</t>
        </is>
      </c>
      <c r="E295" s="6" t="inlineStr">
        <is>
          <t xml:space="preserve">Base tecnológica</t>
        </is>
      </c>
      <c r="F295" s="6" t="inlineStr">
        <is>
          <t xml:space="preserve">Ambos</t>
        </is>
      </c>
      <c r="G295" s="4" t="inlineStr">
        <is>
          <t xml:space="preserve">2</t>
        </is>
      </c>
      <c r="H295" s="4" t="inlineStr">
        <is>
          <t xml:space="preserve">Alta</t>
        </is>
      </c>
      <c r="I295" s="6" t="inlineStr">
        <is>
          <t xml:space="preserve">Retail</t>
        </is>
      </c>
      <c r="J295" s="6" t="inlineStr">
        <is>
          <t xml:space="preserve">0 unidades en bodega sin notificación asociada al cierre de cada día.</t>
        </is>
      </c>
      <c r="K295" s="6" t="inlineStr">
        <is>
          <t xml:space="preserve">Conciliación diaria entre recepciones registradas y notificaciones emitidas.</t>
        </is>
      </c>
      <c r="L295" s="6" t="inlineStr">
        <is>
          <t xml:space="preserve">RN-28</t>
        </is>
      </c>
      <c r="M295" s="6" t="inlineStr">
        <is>
          <t xml:space="preserve">Mide el servicio de marketplace, de la Etapa 2.</t>
        </is>
      </c>
      <c r="N295" s="6" t="inlineStr">
        <is>
          <t xml:space="preserve">NFR-30</t>
        </is>
      </c>
      <c r="O295" s="6" t="inlineStr">
        <is>
          <t xml:space="preserve">NFR-30b</t>
        </is>
      </c>
    </row>
    <row r="296">
      <c r="A296" s="6" t="inlineStr">
        <is>
          <t xml:space="preserve">RNF-68</t>
        </is>
      </c>
      <c r="B296" s="4" t="inlineStr">
        <is>
          <t xml:space="preserve">RNF</t>
        </is>
      </c>
      <c r="C296" s="6" t="inlineStr">
        <is>
          <t xml:space="preserve">La restauración desde archivo frío de una operación de crédito de la cohorte más antigua debe completarse dentro del plazo objetivo.</t>
        </is>
      </c>
      <c r="D296" s="6" t="inlineStr">
        <is>
          <t xml:space="preserve">—</t>
        </is>
      </c>
      <c r="E296" s="6" t="inlineStr">
        <is>
          <t xml:space="preserve">Base tecnológica</t>
        </is>
      </c>
      <c r="F296" s="6" t="inlineStr">
        <is>
          <t xml:space="preserve">Ambos</t>
        </is>
      </c>
      <c r="G296" s="4" t="inlineStr">
        <is>
          <t xml:space="preserve">1</t>
        </is>
      </c>
      <c r="H296" s="4" t="inlineStr">
        <is>
          <t xml:space="preserve">Alta</t>
        </is>
      </c>
      <c r="I296" s="6" t="inlineStr">
        <is>
          <t xml:space="preserve">Filial emisora</t>
        </is>
      </c>
      <c r="J296" s="6" t="inlineStr">
        <is>
          <t xml:space="preserve">&lt;= 24 horas (supuesto fundamentado).</t>
        </is>
      </c>
      <c r="K296" s="6" t="inlineStr">
        <is>
          <t xml:space="preserve">Prueba de restauración desde archivo frío.</t>
        </is>
      </c>
      <c r="L296" s="6" t="inlineStr">
        <is>
          <t xml:space="preserve">RN-36</t>
        </is>
      </c>
      <c r="M296" s="6" t="inlineStr">
        <is>
          <t xml:space="preserve"/>
        </is>
      </c>
      <c r="N296" s="6" t="inlineStr">
        <is>
          <t xml:space="preserve">—</t>
        </is>
      </c>
      <c r="O296" s="6" t="inlineStr">
        <is>
          <t xml:space="preserve">NFR-32</t>
        </is>
      </c>
    </row>
    <row r="297">
      <c r="A297" s="6" t="inlineStr">
        <is>
          <t xml:space="preserve">RNF-69</t>
        </is>
      </c>
      <c r="B297" s="4" t="inlineStr">
        <is>
          <t xml:space="preserve">RNF</t>
        </is>
      </c>
      <c r="C297" s="6" t="inlineStr">
        <is>
          <t xml:space="preserve">La atención de garantía legal en mesón no debe derivar al consumidor a un tercero como condición de atención, en ninguna tienda.</t>
        </is>
      </c>
      <c r="D297" s="6" t="inlineStr">
        <is>
          <t xml:space="preserve">—</t>
        </is>
      </c>
      <c r="E297" s="6" t="inlineStr">
        <is>
          <t xml:space="preserve">Base tecnológica</t>
        </is>
      </c>
      <c r="F297" s="6" t="inlineStr">
        <is>
          <t xml:space="preserve">Ambos</t>
        </is>
      </c>
      <c r="G297" s="4" t="inlineStr">
        <is>
          <t xml:space="preserve">2</t>
        </is>
      </c>
      <c r="H297" s="4" t="inlineStr">
        <is>
          <t xml:space="preserve">Alta</t>
        </is>
      </c>
      <c r="I297" s="6" t="inlineStr">
        <is>
          <t xml:space="preserve">Retail</t>
        </is>
      </c>
      <c r="J297" s="6" t="inlineStr">
        <is>
          <t xml:space="preserve">0 derivaciones como condición de atención, medido con cliente oculto en las 22 tiendas.</t>
        </is>
      </c>
      <c r="K297" s="6" t="inlineStr">
        <is>
          <t xml:space="preserve">Programa de cliente oculto en las 22 tiendas.</t>
        </is>
      </c>
      <c r="L297" s="6" t="inlineStr">
        <is>
          <t xml:space="preserve">RN-26</t>
        </is>
      </c>
      <c r="M297" s="6" t="inlineStr">
        <is>
          <t xml:space="preserve">Mide el servicio de posventa, de la Etapa 2.</t>
        </is>
      </c>
      <c r="N297" s="6" t="inlineStr">
        <is>
          <t xml:space="preserve">—</t>
        </is>
      </c>
      <c r="O297" s="6" t="inlineStr">
        <is>
          <t xml:space="preserve">NFR-33</t>
        </is>
      </c>
    </row>
    <row r="298">
      <c r="A298" s="6" t="inlineStr">
        <is>
          <t xml:space="preserve">RNF-70</t>
        </is>
      </c>
      <c r="B298" s="4" t="inlineStr">
        <is>
          <t xml:space="preserve">RNF</t>
        </is>
      </c>
      <c r="C298" s="6" t="inlineStr">
        <is>
          <t xml:space="preserve">El ciclo de desarrollo debe producir un inventario de componentes (SBOM) por artefacto desplegado.</t>
        </is>
      </c>
      <c r="D298" s="6" t="inlineStr">
        <is>
          <t xml:space="preserve">—</t>
        </is>
      </c>
      <c r="E298" s="6" t="inlineStr">
        <is>
          <t xml:space="preserve">Base tecnológica</t>
        </is>
      </c>
      <c r="F298" s="6" t="inlineStr">
        <is>
          <t xml:space="preserve">Ambos</t>
        </is>
      </c>
      <c r="G298" s="4" t="inlineStr">
        <is>
          <t xml:space="preserve">1</t>
        </is>
      </c>
      <c r="H298" s="4" t="inlineStr">
        <is>
          <t xml:space="preserve">Alta</t>
        </is>
      </c>
      <c r="I298" s="6" t="inlineStr">
        <is>
          <t xml:space="preserve">Ambos</t>
        </is>
      </c>
      <c r="J298" s="6" t="inlineStr">
        <is>
          <t xml:space="preserve">SBOM del 100 % de los artefactos desplegados.</t>
        </is>
      </c>
      <c r="K298" s="6" t="inlineStr">
        <is>
          <t xml:space="preserve">Verificación del SBOM en cada liberación.</t>
        </is>
      </c>
      <c r="L298" s="6" t="inlineStr">
        <is>
          <t xml:space="preserve">RN-01, RN-06</t>
        </is>
      </c>
      <c r="M298" s="6" t="inlineStr">
        <is>
          <t xml:space="preserve"/>
        </is>
      </c>
      <c r="N298" s="6" t="inlineStr">
        <is>
          <t xml:space="preserve">NFR-34</t>
        </is>
      </c>
      <c r="O298" s="6" t="inlineStr">
        <is>
          <t xml:space="preserve">NFR-34.1</t>
        </is>
      </c>
    </row>
    <row r="299">
      <c r="A299" s="6" t="inlineStr">
        <is>
          <t xml:space="preserve">RNF-71</t>
        </is>
      </c>
      <c r="B299" s="4" t="inlineStr">
        <is>
          <t xml:space="preserve">RNF</t>
        </is>
      </c>
      <c r="C299" s="6" t="inlineStr">
        <is>
          <t xml:space="preserve">La cadena de suministro de software debe alcanzar el nivel SLSA 3 o superior.</t>
        </is>
      </c>
      <c r="D299" s="6" t="inlineStr">
        <is>
          <t xml:space="preserve">—</t>
        </is>
      </c>
      <c r="E299" s="6" t="inlineStr">
        <is>
          <t xml:space="preserve">Base tecnológica</t>
        </is>
      </c>
      <c r="F299" s="6" t="inlineStr">
        <is>
          <t xml:space="preserve">Ambos</t>
        </is>
      </c>
      <c r="G299" s="4" t="inlineStr">
        <is>
          <t xml:space="preserve">1</t>
        </is>
      </c>
      <c r="H299" s="4" t="inlineStr">
        <is>
          <t xml:space="preserve">Alta</t>
        </is>
      </c>
      <c r="I299" s="6" t="inlineStr">
        <is>
          <t xml:space="preserve">Ambos</t>
        </is>
      </c>
      <c r="J299" s="6" t="inlineStr">
        <is>
          <t xml:space="preserve">Nivel SLSA 3 o superior acreditado.</t>
        </is>
      </c>
      <c r="K299" s="6" t="inlineStr">
        <is>
          <t xml:space="preserve">Atestación de la cadena de construcción por artefacto.</t>
        </is>
      </c>
      <c r="L299" s="6" t="inlineStr">
        <is>
          <t xml:space="preserve">RN-01, RN-06</t>
        </is>
      </c>
      <c r="M299" s="6" t="inlineStr">
        <is>
          <t xml:space="preserve"/>
        </is>
      </c>
      <c r="N299" s="6" t="inlineStr">
        <is>
          <t xml:space="preserve">NFR-34</t>
        </is>
      </c>
      <c r="O299" s="6" t="inlineStr">
        <is>
          <t xml:space="preserve">NFR-34.2</t>
        </is>
      </c>
    </row>
    <row r="300">
      <c r="A300" s="6" t="inlineStr">
        <is>
          <t xml:space="preserve">RNF-72</t>
        </is>
      </c>
      <c r="B300" s="4" t="inlineStr">
        <is>
          <t xml:space="preserve">RNF</t>
        </is>
      </c>
      <c r="C300" s="6" t="inlineStr">
        <is>
          <t xml:space="preserve">La capa expuesta debe cumplir el estándar OWASP ASVS en el nivel comprometido.</t>
        </is>
      </c>
      <c r="D300" s="6" t="inlineStr">
        <is>
          <t xml:space="preserve">—</t>
        </is>
      </c>
      <c r="E300" s="6" t="inlineStr">
        <is>
          <t xml:space="preserve">Base tecnológica</t>
        </is>
      </c>
      <c r="F300" s="6" t="inlineStr">
        <is>
          <t xml:space="preserve">Ambos</t>
        </is>
      </c>
      <c r="G300" s="4" t="inlineStr">
        <is>
          <t xml:space="preserve">1</t>
        </is>
      </c>
      <c r="H300" s="4" t="inlineStr">
        <is>
          <t xml:space="preserve">Alta</t>
        </is>
      </c>
      <c r="I300" s="6" t="inlineStr">
        <is>
          <t xml:space="preserve">Ambos</t>
        </is>
      </c>
      <c r="J300" s="6" t="inlineStr">
        <is>
          <t xml:space="preserve">0 hallazgos críticos abiertos en el nivel ASVS comprometido.</t>
        </is>
      </c>
      <c r="K300" s="6" t="inlineStr">
        <is>
          <t xml:space="preserve">Análisis estático y dinámico por ciclo y prueba de seguridad ofensiva.</t>
        </is>
      </c>
      <c r="L300" s="6" t="inlineStr">
        <is>
          <t xml:space="preserve">RN-01, RN-06</t>
        </is>
      </c>
      <c r="M300" s="6" t="inlineStr">
        <is>
          <t xml:space="preserve"/>
        </is>
      </c>
      <c r="N300" s="6" t="inlineStr">
        <is>
          <t xml:space="preserve">NFR-34</t>
        </is>
      </c>
      <c r="O300" s="6" t="inlineStr">
        <is>
          <t xml:space="preserve">NFR-34.3</t>
        </is>
      </c>
    </row>
    <row r="301">
      <c r="A301" s="6" t="inlineStr">
        <is>
          <t xml:space="preserve">RNF-73</t>
        </is>
      </c>
      <c r="B301" s="4" t="inlineStr">
        <is>
          <t xml:space="preserve">RNF</t>
        </is>
      </c>
      <c r="C301" s="6" t="inlineStr">
        <is>
          <t xml:space="preserve">La arquitectura debe implementar un modelo Zero Trust conforme a NIST SP 800-207.</t>
        </is>
      </c>
      <c r="D301" s="6" t="inlineStr">
        <is>
          <t xml:space="preserve">—</t>
        </is>
      </c>
      <c r="E301" s="6" t="inlineStr">
        <is>
          <t xml:space="preserve">Base tecnológica</t>
        </is>
      </c>
      <c r="F301" s="6" t="inlineStr">
        <is>
          <t xml:space="preserve">Ambos</t>
        </is>
      </c>
      <c r="G301" s="4" t="inlineStr">
        <is>
          <t xml:space="preserve">1</t>
        </is>
      </c>
      <c r="H301" s="4" t="inlineStr">
        <is>
          <t xml:space="preserve">Alta</t>
        </is>
      </c>
      <c r="I301" s="6" t="inlineStr">
        <is>
          <t xml:space="preserve">Ambos</t>
        </is>
      </c>
      <c r="J301" s="6" t="inlineStr">
        <is>
          <t xml:space="preserve">Verificación explícita en cada solicitud y denegación por omisión en el 100 % de los puntos de control.</t>
        </is>
      </c>
      <c r="K301" s="6" t="inlineStr">
        <is>
          <t xml:space="preserve">Revisión de arquitectura contra los principios de NIST SP 800-207.</t>
        </is>
      </c>
      <c r="L301" s="6" t="inlineStr">
        <is>
          <t xml:space="preserve">RN-01, RN-06</t>
        </is>
      </c>
      <c r="M301" s="6" t="inlineStr">
        <is>
          <t xml:space="preserve"/>
        </is>
      </c>
      <c r="N301" s="6" t="inlineStr">
        <is>
          <t xml:space="preserve">NFR-34</t>
        </is>
      </c>
      <c r="O301" s="6" t="inlineStr">
        <is>
          <t xml:space="preserve">NFR-34.4</t>
        </is>
      </c>
    </row>
    <row r="302">
      <c r="A302" s="6" t="inlineStr">
        <is>
          <t xml:space="preserve">RNF-74</t>
        </is>
      </c>
      <c r="B302" s="4" t="inlineStr">
        <is>
          <t xml:space="preserve">RNF</t>
        </is>
      </c>
      <c r="C302" s="6" t="inlineStr">
        <is>
          <t xml:space="preserve">Todo tratamiento de datos personales debe declarar su finalidad.</t>
        </is>
      </c>
      <c r="D302" s="6" t="inlineStr">
        <is>
          <t xml:space="preserve">—</t>
        </is>
      </c>
      <c r="E302" s="6" t="inlineStr">
        <is>
          <t xml:space="preserve">Base tecnológica</t>
        </is>
      </c>
      <c r="F302" s="6" t="inlineStr">
        <is>
          <t xml:space="preserve">Ambos</t>
        </is>
      </c>
      <c r="G302" s="4" t="inlineStr">
        <is>
          <t xml:space="preserve">1</t>
        </is>
      </c>
      <c r="H302" s="4" t="inlineStr">
        <is>
          <t xml:space="preserve">Alta</t>
        </is>
      </c>
      <c r="I302" s="6" t="inlineStr">
        <is>
          <t xml:space="preserve">Ambos</t>
        </is>
      </c>
      <c r="J302" s="6" t="inlineStr">
        <is>
          <t xml:space="preserve">100 % de los flujos con finalidad declarada.</t>
        </is>
      </c>
      <c r="K302" s="6" t="inlineStr">
        <is>
          <t xml:space="preserve">Revisión del registro de actividades de tratamiento.</t>
        </is>
      </c>
      <c r="L302" s="6" t="inlineStr">
        <is>
          <t xml:space="preserve">RN-02, RN-03, RN-05</t>
        </is>
      </c>
      <c r="M302" s="6" t="inlineStr">
        <is>
          <t xml:space="preserve"/>
        </is>
      </c>
      <c r="N302" s="6" t="inlineStr">
        <is>
          <t xml:space="preserve">NFR-35</t>
        </is>
      </c>
      <c r="O302" s="6" t="inlineStr">
        <is>
          <t xml:space="preserve">NFR-35.1</t>
        </is>
      </c>
    </row>
    <row r="303">
      <c r="A303" s="6" t="inlineStr">
        <is>
          <t xml:space="preserve">RNF-75</t>
        </is>
      </c>
      <c r="B303" s="4" t="inlineStr">
        <is>
          <t xml:space="preserve">RNF</t>
        </is>
      </c>
      <c r="C303" s="6" t="inlineStr">
        <is>
          <t xml:space="preserve">Todo tratamiento de datos personales debe invocar una de las bases de licitud de la Ley N° 21.719.</t>
        </is>
      </c>
      <c r="D303" s="6" t="inlineStr">
        <is>
          <t xml:space="preserve">—</t>
        </is>
      </c>
      <c r="E303" s="6" t="inlineStr">
        <is>
          <t xml:space="preserve">Base tecnológica</t>
        </is>
      </c>
      <c r="F303" s="6" t="inlineStr">
        <is>
          <t xml:space="preserve">Ambos</t>
        </is>
      </c>
      <c r="G303" s="4" t="inlineStr">
        <is>
          <t xml:space="preserve">1</t>
        </is>
      </c>
      <c r="H303" s="4" t="inlineStr">
        <is>
          <t xml:space="preserve">Alta</t>
        </is>
      </c>
      <c r="I303" s="6" t="inlineStr">
        <is>
          <t xml:space="preserve">Ambos</t>
        </is>
      </c>
      <c r="J303" s="6" t="inlineStr">
        <is>
          <t xml:space="preserve">100 % de los flujos con base de licitud declarada; 0 tratamientos con consentimiento presunto.</t>
        </is>
      </c>
      <c r="K303" s="6" t="inlineStr">
        <is>
          <t xml:space="preserve">Auditoría de conformidad por el oficial de cumplimiento.</t>
        </is>
      </c>
      <c r="L303" s="6" t="inlineStr">
        <is>
          <t xml:space="preserve">RN-02, RN-03, RN-05</t>
        </is>
      </c>
      <c r="M303" s="6" t="inlineStr">
        <is>
          <t xml:space="preserve"/>
        </is>
      </c>
      <c r="N303" s="6" t="inlineStr">
        <is>
          <t xml:space="preserve">NFR-35</t>
        </is>
      </c>
      <c r="O303" s="6" t="inlineStr">
        <is>
          <t xml:space="preserve">NFR-35.2</t>
        </is>
      </c>
    </row>
    <row r="304">
      <c r="A304" s="6" t="inlineStr">
        <is>
          <t xml:space="preserve">RNF-76</t>
        </is>
      </c>
      <c r="B304" s="4" t="inlineStr">
        <is>
          <t xml:space="preserve">RNF</t>
        </is>
      </c>
      <c r="C304" s="6" t="inlineStr">
        <is>
          <t xml:space="preserve">La compañía debe mantener el registro de actividades de tratamiento de datos personales.</t>
        </is>
      </c>
      <c r="D304" s="6" t="inlineStr">
        <is>
          <t xml:space="preserve">—</t>
        </is>
      </c>
      <c r="E304" s="6" t="inlineStr">
        <is>
          <t xml:space="preserve">Base tecnológica</t>
        </is>
      </c>
      <c r="F304" s="6" t="inlineStr">
        <is>
          <t xml:space="preserve">Ambos</t>
        </is>
      </c>
      <c r="G304" s="4" t="inlineStr">
        <is>
          <t xml:space="preserve">1</t>
        </is>
      </c>
      <c r="H304" s="4" t="inlineStr">
        <is>
          <t xml:space="preserve">Alta</t>
        </is>
      </c>
      <c r="I304" s="6" t="inlineStr">
        <is>
          <t xml:space="preserve">Ambos</t>
        </is>
      </c>
      <c r="J304" s="6" t="inlineStr">
        <is>
          <t xml:space="preserve">Registro completo y vigente, actualizado ante cada cambio de flujo.</t>
        </is>
      </c>
      <c r="K304" s="6" t="inlineStr">
        <is>
          <t xml:space="preserve">Revisión documental periódica contra el inventario de interfaces de RF-168.</t>
        </is>
      </c>
      <c r="L304" s="6" t="inlineStr">
        <is>
          <t xml:space="preserve">RN-02, RN-03, RN-05</t>
        </is>
      </c>
      <c r="M304" s="6" t="inlineStr">
        <is>
          <t xml:space="preserve"/>
        </is>
      </c>
      <c r="N304" s="6" t="inlineStr">
        <is>
          <t xml:space="preserve">NFR-35</t>
        </is>
      </c>
      <c r="O304" s="6" t="inlineStr">
        <is>
          <t xml:space="preserve">NFR-35.3</t>
        </is>
      </c>
    </row>
    <row r="305">
      <c r="A305" s="5" t="inlineStr">
        <is>
          <t xml:space="preserve">RF-227</t>
        </is>
      </c>
      <c r="B305" s="4" t="inlineStr">
        <is>
          <t xml:space="preserve">RF</t>
        </is>
      </c>
      <c r="C305" s="5" t="inlineStr">
        <is>
          <t xml:space="preserve">El sistema deberá consolidar en un único registro retail los registros duplicados de un mismo cliente.</t>
        </is>
      </c>
      <c r="D305" s="5" t="inlineStr">
        <is>
          <t xml:space="preserve">R:CL-02</t>
        </is>
      </c>
      <c r="E305" s="5" t="inlineStr">
        <is>
          <t xml:space="preserve">Servicio de clientes Retail</t>
        </is>
      </c>
      <c r="F305" s="5" t="inlineStr">
        <is>
          <t xml:space="preserve">Retail</t>
        </is>
      </c>
      <c r="G305" s="4" t="inlineStr">
        <is>
          <t xml:space="preserve">2</t>
        </is>
      </c>
      <c r="H305" s="4" t="inlineStr">
        <is>
          <t xml:space="preserve">Media</t>
        </is>
      </c>
      <c r="I305" s="5" t="inlineStr">
        <is>
          <t xml:space="preserve">Retail</t>
        </is>
      </c>
      <c r="J305" s="5" t="inlineStr">
        <is>
          <t xml:space="preserve">—</t>
        </is>
      </c>
      <c r="K305" s="5" t="inlineStr">
        <is>
          <t xml:space="preserve">—</t>
        </is>
      </c>
      <c r="L305" s="5" t="inlineStr">
        <is>
          <t xml:space="preserve">—</t>
        </is>
      </c>
      <c r="M305" s="5" t="inlineStr">
        <is>
          <t xml:space="preserve">Propuesto por el proponente. Deriva de la función de deduplicación que incluye el servicio. Por validar.</t>
        </is>
      </c>
      <c r="N305" s="5" t="inlineStr">
        <is>
          <t xml:space="preserve">—</t>
        </is>
      </c>
      <c r="O305" s="5" t="inlineStr">
        <is>
          <t xml:space="preserve">—</t>
        </is>
      </c>
    </row>
    <row r="306">
      <c r="A306" s="5" t="inlineStr">
        <is>
          <t xml:space="preserve">RF-228</t>
        </is>
      </c>
      <c r="B306" s="4" t="inlineStr">
        <is>
          <t xml:space="preserve">RF</t>
        </is>
      </c>
      <c r="C306" s="5" t="inlineStr">
        <is>
          <t xml:space="preserve">El sistema deberá registrar cada movimiento de puntos de fidelización de un cliente.</t>
        </is>
      </c>
      <c r="D306" s="5" t="inlineStr">
        <is>
          <t xml:space="preserve">R:CL-02</t>
        </is>
      </c>
      <c r="E306" s="5" t="inlineStr">
        <is>
          <t xml:space="preserve">Servicio de clientes Retail</t>
        </is>
      </c>
      <c r="F306" s="5" t="inlineStr">
        <is>
          <t xml:space="preserve">Retail</t>
        </is>
      </c>
      <c r="G306" s="4" t="inlineStr">
        <is>
          <t xml:space="preserve">2</t>
        </is>
      </c>
      <c r="H306" s="4" t="inlineStr">
        <is>
          <t xml:space="preserve">Media</t>
        </is>
      </c>
      <c r="I306" s="5" t="inlineStr">
        <is>
          <t xml:space="preserve">Retail</t>
        </is>
      </c>
      <c r="J306" s="5" t="inlineStr">
        <is>
          <t xml:space="preserve">—</t>
        </is>
      </c>
      <c r="K306" s="5" t="inlineStr">
        <is>
          <t xml:space="preserve">—</t>
        </is>
      </c>
      <c r="L306" s="5" t="inlineStr">
        <is>
          <t xml:space="preserve">—</t>
        </is>
      </c>
      <c r="M306" s="5" t="inlineStr">
        <is>
          <t xml:space="preserve">Propuesto por el proponente. Deriva de los datos de puntos del sistema de fidelización que el servicio gobierna (Caso cap. 5, EXC-15). Por validar.</t>
        </is>
      </c>
      <c r="N306" s="5" t="inlineStr">
        <is>
          <t xml:space="preserve">—</t>
        </is>
      </c>
      <c r="O306" s="5" t="inlineStr">
        <is>
          <t xml:space="preserve">—</t>
        </is>
      </c>
    </row>
    <row r="307">
      <c r="A307" s="5" t="inlineStr">
        <is>
          <t xml:space="preserve">RF-229</t>
        </is>
      </c>
      <c r="B307" s="4" t="inlineStr">
        <is>
          <t xml:space="preserve">RF</t>
        </is>
      </c>
      <c r="C307" s="5" t="inlineStr">
        <is>
          <t xml:space="preserve">El sistema deberá construir los segmentos de clientes del retail exclusivamente con atributos comerciales.</t>
        </is>
      </c>
      <c r="D307" s="5" t="inlineStr">
        <is>
          <t xml:space="preserve">R:CL-02</t>
        </is>
      </c>
      <c r="E307" s="5" t="inlineStr">
        <is>
          <t xml:space="preserve">Servicio de clientes Retail</t>
        </is>
      </c>
      <c r="F307" s="5" t="inlineStr">
        <is>
          <t xml:space="preserve">Retail</t>
        </is>
      </c>
      <c r="G307" s="4" t="inlineStr">
        <is>
          <t xml:space="preserve">2</t>
        </is>
      </c>
      <c r="H307" s="4" t="inlineStr">
        <is>
          <t xml:space="preserve">Media</t>
        </is>
      </c>
      <c r="I307" s="5" t="inlineStr">
        <is>
          <t xml:space="preserve">Retail</t>
        </is>
      </c>
      <c r="J307" s="5" t="inlineStr">
        <is>
          <t xml:space="preserve">—</t>
        </is>
      </c>
      <c r="K307" s="5" t="inlineStr">
        <is>
          <t xml:space="preserve">—</t>
        </is>
      </c>
      <c r="L307" s="5" t="inlineStr">
        <is>
          <t xml:space="preserve">RN-03, RN-05</t>
        </is>
      </c>
      <c r="M307" s="5" t="inlineStr">
        <is>
          <t xml:space="preserve">Propuesto por el proponente. Deriva de RN-03 y RN-05. El control de frontera lo hacen RF-170 y RF-171. Por validar.</t>
        </is>
      </c>
      <c r="N307" s="5" t="inlineStr">
        <is>
          <t xml:space="preserve">—</t>
        </is>
      </c>
      <c r="O307" s="5" t="inlineStr">
        <is>
          <t xml:space="preserve">—</t>
        </is>
      </c>
    </row>
    <row r="308">
      <c r="A308" s="5" t="inlineStr">
        <is>
          <t xml:space="preserve">RF-230</t>
        </is>
      </c>
      <c r="B308" s="4" t="inlineStr">
        <is>
          <t xml:space="preserve">RF</t>
        </is>
      </c>
      <c r="C308" s="5" t="inlineStr">
        <is>
          <t xml:space="preserve">El sistema deberá ejecutar campañas sobre los segmentos de clientes del retail.</t>
        </is>
      </c>
      <c r="D308" s="5" t="inlineStr">
        <is>
          <t xml:space="preserve">R:CL-02</t>
        </is>
      </c>
      <c r="E308" s="5" t="inlineStr">
        <is>
          <t xml:space="preserve">Servicio de clientes Retail</t>
        </is>
      </c>
      <c r="F308" s="5" t="inlineStr">
        <is>
          <t xml:space="preserve">Retail</t>
        </is>
      </c>
      <c r="G308" s="4" t="inlineStr">
        <is>
          <t xml:space="preserve">2</t>
        </is>
      </c>
      <c r="H308" s="4" t="inlineStr">
        <is>
          <t xml:space="preserve">Media</t>
        </is>
      </c>
      <c r="I308" s="5" t="inlineStr">
        <is>
          <t xml:space="preserve">Retail</t>
        </is>
      </c>
      <c r="J308" s="5" t="inlineStr">
        <is>
          <t xml:space="preserve">—</t>
        </is>
      </c>
      <c r="K308" s="5" t="inlineStr">
        <is>
          <t xml:space="preserve">—</t>
        </is>
      </c>
      <c r="L308" s="5" t="inlineStr">
        <is>
          <t xml:space="preserve">—</t>
        </is>
      </c>
      <c r="M308" s="5" t="inlineStr">
        <is>
          <t xml:space="preserve">Propuesto por el proponente. Deriva de las campañas del sistema de fidelización que el servicio gobierna (Caso cap. 5, EXC-15). Por validar.</t>
        </is>
      </c>
      <c r="N308" s="5" t="inlineStr">
        <is>
          <t xml:space="preserve">—</t>
        </is>
      </c>
      <c r="O308" s="5" t="inlineStr">
        <is>
          <t xml:space="preserve">—</t>
        </is>
      </c>
    </row>
    <row r="309">
      <c r="A309" s="5" t="inlineStr">
        <is>
          <t xml:space="preserve">RF-231</t>
        </is>
      </c>
      <c r="B309" s="4" t="inlineStr">
        <is>
          <t xml:space="preserve">RF</t>
        </is>
      </c>
      <c r="C309" s="5" t="inlineStr">
        <is>
          <t xml:space="preserve">El sistema deberá sincronizar con el sistema de fidelización conservado los datos de fidelización del cliente.</t>
        </is>
      </c>
      <c r="D309" s="5" t="inlineStr">
        <is>
          <t xml:space="preserve">R:CL-02</t>
        </is>
      </c>
      <c r="E309" s="5" t="inlineStr">
        <is>
          <t xml:space="preserve">Servicio de clientes Retail</t>
        </is>
      </c>
      <c r="F309" s="5" t="inlineStr">
        <is>
          <t xml:space="preserve">Retail</t>
        </is>
      </c>
      <c r="G309" s="4" t="inlineStr">
        <is>
          <t xml:space="preserve">2</t>
        </is>
      </c>
      <c r="H309" s="4" t="inlineStr">
        <is>
          <t xml:space="preserve">Media</t>
        </is>
      </c>
      <c r="I309" s="5" t="inlineStr">
        <is>
          <t xml:space="preserve">Retail</t>
        </is>
      </c>
      <c r="J309" s="5" t="inlineStr">
        <is>
          <t xml:space="preserve">—</t>
        </is>
      </c>
      <c r="K309" s="5" t="inlineStr">
        <is>
          <t xml:space="preserve">—</t>
        </is>
      </c>
      <c r="L309" s="5" t="inlineStr">
        <is>
          <t xml:space="preserve">—</t>
        </is>
      </c>
      <c r="M309" s="5" t="inlineStr">
        <is>
          <t xml:space="preserve">Propuesto por el proponente. Deriva de EXC-15: la fidelización se conserva y se integra al servicio. Por validar.</t>
        </is>
      </c>
      <c r="N309" s="5" t="inlineStr">
        <is>
          <t xml:space="preserve">—</t>
        </is>
      </c>
      <c r="O309" s="5" t="inlineStr">
        <is>
          <t xml:space="preserve">—</t>
        </is>
      </c>
    </row>
  </sheetData>
  <autoFilter ref="A1:O309"/>
  <pageMargins left="0.5" right="0.5" top="0.6" bottom="0.6" header="0.3" footer="0.3"/>
  <pageSetup orientation="landscape" fitToWidth="1" fitToHeight="0"/>
</worksheet>
</file>

<file path=xl/worksheets/sheet3.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4.5"/>
  <cols>
    <col min="1" max="1" width="10" customWidth="1"/>
    <col min="2" max="2" width="14" customWidth="1"/>
    <col min="3" max="3" width="34" customWidth="1"/>
    <col min="4" max="4" width="90" customWidth="1"/>
  </cols>
  <sheetData>
    <row r="1" ht="24" customHeight="1">
      <c r="A1" s="1" t="inlineStr">
        <is>
          <t xml:space="preserve">ID</t>
        </is>
      </c>
      <c r="B1" s="1" t="inlineStr">
        <is>
          <t xml:space="preserve">Propuesta</t>
        </is>
      </c>
      <c r="C1" s="1" t="inlineStr">
        <is>
          <t xml:space="preserve">Decisión del equipo</t>
        </is>
      </c>
      <c r="D1" s="1" t="inlineStr">
        <is>
          <t xml:space="preserve">Fundamento</t>
        </is>
      </c>
    </row>
    <row r="2">
      <c r="A2" s="2" t="inlineStr">
        <is>
          <t xml:space="preserve">RF-025</t>
        </is>
      </c>
      <c r="B2" s="2" t="inlineStr">
        <is>
          <t xml:space="preserve">Eliminar</t>
        </is>
      </c>
      <c r="C2" s="2" t="inlineStr">
        <is>
          <t xml:space="preserve">Eliminado (ya fuera del catálogo vigente)</t>
        </is>
      </c>
      <c r="D2" s="2" t="inlineStr">
        <is>
          <t xml:space="preserve">Presupone etiquetas electrónicas, excluidas por EXC-02.</t>
        </is>
      </c>
    </row>
    <row r="3">
      <c r="A3" s="2" t="inlineStr">
        <is>
          <t xml:space="preserve">RF-026</t>
        </is>
      </c>
      <c r="B3" s="2" t="inlineStr">
        <is>
          <t xml:space="preserve">Eliminar</t>
        </is>
      </c>
      <c r="C3" s="2" t="inlineStr">
        <is>
          <t xml:space="preserve">Eliminado (ya fuera del catálogo vigente)</t>
        </is>
      </c>
      <c r="D3" s="2" t="inlineStr">
        <is>
          <t xml:space="preserve">Presupone etiquetas electrónicas, excluidas por EXC-02.</t>
        </is>
      </c>
    </row>
    <row r="4">
      <c r="A4" s="2" t="inlineStr">
        <is>
          <t xml:space="preserve">RF-031</t>
        </is>
      </c>
      <c r="B4" s="2" t="inlineStr">
        <is>
          <t xml:space="preserve">Eliminar</t>
        </is>
      </c>
      <c r="C4" s="2" t="inlineStr">
        <is>
          <t xml:space="preserve">Eliminado (ya fuera del catálogo vigente)</t>
        </is>
      </c>
      <c r="D4" s="2" t="inlineStr">
        <is>
          <t xml:space="preserve">Presupone etiquetas electrónicas, excluidas por EXC-02.</t>
        </is>
      </c>
    </row>
    <row r="5">
      <c r="A5" s="2" t="inlineStr">
        <is>
          <t xml:space="preserve">RNF-01</t>
        </is>
      </c>
      <c r="B5" s="2" t="inlineStr">
        <is>
          <t xml:space="preserve">Eliminar</t>
        </is>
      </c>
      <c r="C5" s="2" t="inlineStr">
        <is>
          <t xml:space="preserve">Eliminado (ya fuera del catálogo vigente)</t>
        </is>
      </c>
      <c r="D5" s="2" t="inlineStr">
        <is>
          <t xml:space="preserve">Presupone etiquetas electrónicas, excluidas por EXC-02.</t>
        </is>
      </c>
    </row>
    <row r="6">
      <c r="A6" s="2" t="inlineStr">
        <is>
          <t xml:space="preserve">RF-027</t>
        </is>
      </c>
      <c r="B6" s="2" t="inlineStr">
        <is>
          <t xml:space="preserve">Eliminar</t>
        </is>
      </c>
      <c r="C6" s="2" t="inlineStr">
        <is>
          <t xml:space="preserve">Eliminado</t>
        </is>
      </c>
      <c r="D6" s="2" t="inlineStr">
        <is>
          <t xml:space="preserve">Presupone etiquetas electrónicas, excluidas por EXC-02 (solo se evalúa, especifica y costea la alternativa).</t>
        </is>
      </c>
    </row>
    <row r="7">
      <c r="A7" s="2" t="inlineStr">
        <is>
          <t xml:space="preserve">OP-01</t>
        </is>
      </c>
      <c r="B7" s="2" t="inlineStr">
        <is>
          <t xml:space="preserve">Trasladar</t>
        </is>
      </c>
      <c r="C7" s="2" t="inlineStr">
        <is>
          <t xml:space="preserve">Mantenida como obligación del proponente</t>
        </is>
      </c>
      <c r="D7" s="2" t="inlineStr">
        <is>
          <t xml:space="preserve">No es función del sistema: es una obligación de la oferta sobre etiquetas electrónicas (EXC-02).</t>
        </is>
      </c>
    </row>
    <row r="8">
      <c r="A8" s="2" t="inlineStr">
        <is>
          <t xml:space="preserve">OP-02</t>
        </is>
      </c>
      <c r="B8" s="2" t="inlineStr">
        <is>
          <t xml:space="preserve">Trasladar</t>
        </is>
      </c>
      <c r="C8" s="2" t="inlineStr">
        <is>
          <t xml:space="preserve">Mantenida como obligación del proponente</t>
        </is>
      </c>
      <c r="D8" s="2" t="inlineStr">
        <is>
          <t xml:space="preserve">No es función del sistema: es una obligación de la oferta sobre etiquetas electrónicas (EXC-02).</t>
        </is>
      </c>
    </row>
    <row r="9">
      <c r="A9" s="2" t="inlineStr">
        <is>
          <t xml:space="preserve">OP-03</t>
        </is>
      </c>
      <c r="B9" s="2" t="inlineStr">
        <is>
          <t xml:space="preserve">Trasladar</t>
        </is>
      </c>
      <c r="C9" s="2" t="inlineStr">
        <is>
          <t xml:space="preserve">Mantenida como obligación del proponente</t>
        </is>
      </c>
      <c r="D9" s="2" t="inlineStr">
        <is>
          <t xml:space="preserve">No es función del sistema: es una obligación de la oferta sobre etiquetas electrónicas (EXC-02).</t>
        </is>
      </c>
    </row>
    <row r="10">
      <c r="A10" s="2" t="inlineStr">
        <is>
          <t xml:space="preserve">OP-04</t>
        </is>
      </c>
      <c r="B10" s="2" t="inlineStr">
        <is>
          <t xml:space="preserve">Trasladar</t>
        </is>
      </c>
      <c r="C10" s="2" t="inlineStr">
        <is>
          <t xml:space="preserve">Mantenida como obligación del proponente</t>
        </is>
      </c>
      <c r="D10" s="2" t="inlineStr">
        <is>
          <t xml:space="preserve">No es función del sistema: es una obligación de la oferta sobre etiquetas electrónicas (EXC-02).</t>
        </is>
      </c>
    </row>
    <row r="11">
      <c r="A11" s="2" t="inlineStr">
        <is>
          <t xml:space="preserve">OP-05</t>
        </is>
      </c>
      <c r="B11" s="2" t="inlineStr">
        <is>
          <t xml:space="preserve">Trasladar</t>
        </is>
      </c>
      <c r="C11" s="2" t="inlineStr">
        <is>
          <t xml:space="preserve">Mantenida como obligación del proponente</t>
        </is>
      </c>
      <c r="D11" s="2" t="inlineStr">
        <is>
          <t xml:space="preserve">No es función del sistema: es una obligación de la oferta sobre etiquetas electrónicas (EXC-02).</t>
        </is>
      </c>
    </row>
    <row r="12">
      <c r="A12" s="2" t="inlineStr">
        <is>
          <t xml:space="preserve">OP-06</t>
        </is>
      </c>
      <c r="B12" s="2" t="inlineStr">
        <is>
          <t xml:space="preserve">Trasladar</t>
        </is>
      </c>
      <c r="C12" s="2" t="inlineStr">
        <is>
          <t xml:space="preserve">Mantenida como obligación del proponente</t>
        </is>
      </c>
      <c r="D12" s="2" t="inlineStr">
        <is>
          <t xml:space="preserve">No es función del sistema: es una obligación de la oferta sobre dispositivos móviles (EXC-03).</t>
        </is>
      </c>
    </row>
    <row r="13">
      <c r="A13" s="2" t="inlineStr">
        <is>
          <t xml:space="preserve">OP-07</t>
        </is>
      </c>
      <c r="B13" s="2" t="inlineStr">
        <is>
          <t xml:space="preserve">Trasladar</t>
        </is>
      </c>
      <c r="C13" s="2" t="inlineStr">
        <is>
          <t xml:space="preserve">Mantenida como obligación del proponente</t>
        </is>
      </c>
      <c r="D13" s="2" t="inlineStr">
        <is>
          <t xml:space="preserve">No es función del sistema: es una obligación de la oferta sobre dispositivos móviles (EXC-03).</t>
        </is>
      </c>
    </row>
    <row r="14">
      <c r="A14" s="2" t="inlineStr">
        <is>
          <t xml:space="preserve">OP-08</t>
        </is>
      </c>
      <c r="B14" s="2" t="inlineStr">
        <is>
          <t xml:space="preserve">Trasladar</t>
        </is>
      </c>
      <c r="C14" s="2" t="inlineStr">
        <is>
          <t xml:space="preserve">Mantenida como obligación del proponente</t>
        </is>
      </c>
      <c r="D14" s="2" t="inlineStr">
        <is>
          <t xml:space="preserve">No es función del sistema: es una obligación de la oferta sobre el centro de distribución de Concepción (EXC-13).</t>
        </is>
      </c>
    </row>
    <row r="15">
      <c r="A15" s="2" t="inlineStr">
        <is>
          <t xml:space="preserve">OP-09</t>
        </is>
      </c>
      <c r="B15" s="2" t="inlineStr">
        <is>
          <t xml:space="preserve">Trasladar</t>
        </is>
      </c>
      <c r="C15" s="2" t="inlineStr">
        <is>
          <t xml:space="preserve">Mantenida como obligación del proponente</t>
        </is>
      </c>
      <c r="D15" s="2" t="inlineStr">
        <is>
          <t xml:space="preserve">No es función del sistema: es una obligación de la oferta sobre el centro de distribución de Concepción (EXC-13).</t>
        </is>
      </c>
    </row>
    <row r="16">
      <c r="A16" s="2" t="inlineStr">
        <is>
          <t xml:space="preserve">RF-071</t>
        </is>
      </c>
      <c r="B16" s="2" t="inlineStr">
        <is>
          <t xml:space="preserve">Consolidar</t>
        </is>
      </c>
      <c r="C16" s="2" t="inlineStr">
        <is>
          <t xml:space="preserve">Mantenido</t>
        </is>
      </c>
      <c r="D16" s="2" t="inlineStr">
        <is>
          <t xml:space="preserve">EXC-05 exige calcular la base de comisión entre canales. RF-054 no considera el canal de cumplimiento y RF-071 es el enunciado más específico.</t>
        </is>
      </c>
    </row>
    <row r="17">
      <c r="A17" s="2" t="inlineStr">
        <is>
          <t xml:space="preserve">RNF-61</t>
        </is>
      </c>
      <c r="B17" s="2" t="inlineStr">
        <is>
          <t xml:space="preserve">Reclasificar</t>
        </is>
      </c>
      <c r="C17" s="2" t="inlineStr">
        <is>
          <t xml:space="preserve">Reclasificado a criterio de aceptación</t>
        </is>
      </c>
      <c r="D17" s="2" t="inlineStr">
        <is>
          <t xml:space="preserve">Meta de negocio (tasa de cancelación) que depende también de la operación del cliente. Se trata como resultado del capítulo 18 en la subsección 3.2.5. La hoja 3_Hallazgos_v3 (H-21) las conservaba como efectividad de negocio; se sigue la hoja 7 de la v3.0.</t>
        </is>
      </c>
    </row>
    <row r="18">
      <c r="A18" s="2" t="inlineStr">
        <is>
          <t xml:space="preserve">RNF-62</t>
        </is>
      </c>
      <c r="B18" s="2" t="inlineStr">
        <is>
          <t xml:space="preserve">Reclasificar</t>
        </is>
      </c>
      <c r="C18" s="2" t="inlineStr">
        <is>
          <t xml:space="preserve">Reclasificado a criterio de aceptación</t>
        </is>
      </c>
      <c r="D18" s="2" t="inlineStr">
        <is>
          <t xml:space="preserve">Meta de negocio (cumplimiento de la promesa de entrega). Se trata en la subsección 3.2.5. La hoja 3_Hallazgos_v3 (H-21) las conservaba como efectividad de negocio; se sigue la hoja 7 de la v3.0.</t>
        </is>
      </c>
    </row>
    <row r="19">
      <c r="A19" s="2" t="inlineStr">
        <is>
          <t xml:space="preserve">RNF-63</t>
        </is>
      </c>
      <c r="B19" s="2" t="inlineStr">
        <is>
          <t xml:space="preserve">Reclasificar</t>
        </is>
      </c>
      <c r="C19" s="2" t="inlineStr">
        <is>
          <t xml:space="preserve">Reclasificado a criterio de aceptación</t>
        </is>
      </c>
      <c r="D19" s="2" t="inlineStr">
        <is>
          <t xml:space="preserve">Meta de negocio (exactitud de inventario). Se trata en la subsección 3.2.5. La hoja 3_Hallazgos_v3 (H-21) las conservaba como efectividad de negocio; se sigue la hoja 7 de la v3.0.</t>
        </is>
      </c>
    </row>
    <row r="20">
      <c r="A20" s="2" t="inlineStr">
        <is>
          <t xml:space="preserve">RF-153</t>
        </is>
      </c>
      <c r="B20" s="2" t="inlineStr">
        <is>
          <t xml:space="preserve">Revisar</t>
        </is>
      </c>
      <c r="C20" s="2" t="inlineStr">
        <is>
          <t xml:space="preserve">Mantenido</t>
        </is>
      </c>
      <c r="D20" s="2" t="inlineStr">
        <is>
          <t xml:space="preserve">Mantenido: las unidades en probador son una causa de la imprecisión del registro (causa C1 del capítulo 2).</t>
        </is>
      </c>
    </row>
    <row r="21">
      <c r="A21" s="2" t="inlineStr">
        <is>
          <t xml:space="preserve">RF-154</t>
        </is>
      </c>
      <c r="B21" s="2" t="inlineStr">
        <is>
          <t xml:space="preserve">Revisar</t>
        </is>
      </c>
      <c r="C21" s="2" t="inlineStr">
        <is>
          <t xml:space="preserve">Mantenido</t>
        </is>
      </c>
      <c r="D21" s="2" t="inlineStr">
        <is>
          <t xml:space="preserve">Mantenido: las unidades en probador son una causa de la imprecisión del registro (causa C1 del capítulo 2).</t>
        </is>
      </c>
    </row>
    <row r="22">
      <c r="A22" s="2" t="inlineStr">
        <is>
          <t xml:space="preserve">RF-155</t>
        </is>
      </c>
      <c r="B22" s="2" t="inlineStr">
        <is>
          <t xml:space="preserve">Revisar</t>
        </is>
      </c>
      <c r="C22" s="2" t="inlineStr">
        <is>
          <t xml:space="preserve">Mantenido</t>
        </is>
      </c>
      <c r="D22" s="2" t="inlineStr">
        <is>
          <t xml:space="preserve">Mantenido: las unidades en probador son una causa de la imprecisión del registro (causa C1 del capítulo 2).</t>
        </is>
      </c>
    </row>
    <row r="23">
      <c r="A23" s="2" t="inlineStr">
        <is>
          <t xml:space="preserve">RF-156</t>
        </is>
      </c>
      <c r="B23" s="2" t="inlineStr">
        <is>
          <t xml:space="preserve">Revisar</t>
        </is>
      </c>
      <c r="C23" s="2" t="inlineStr">
        <is>
          <t xml:space="preserve">Mantenido</t>
        </is>
      </c>
      <c r="D23" s="2" t="inlineStr">
        <is>
          <t xml:space="preserve">Mantenido: las unidades en probador son una causa de la imprecisión del registro (causa C1 del capítulo 2).</t>
        </is>
      </c>
    </row>
    <row r="24">
      <c r="A24" s="2" t="inlineStr">
        <is>
          <t xml:space="preserve">RNF-46</t>
        </is>
      </c>
      <c r="B24" s="2" t="inlineStr">
        <is>
          <t xml:space="preserve">Revisar</t>
        </is>
      </c>
      <c r="C24" s="2" t="inlineStr">
        <is>
          <t xml:space="preserve">Mantenido</t>
        </is>
      </c>
      <c r="D24" s="2" t="inlineStr">
        <is>
          <t xml:space="preserve">Pasa al servicio de clientes Retail, que gobierna los datos de fidelización (EXC-15).</t>
        </is>
      </c>
    </row>
    <row r="25">
      <c r="A25" s="2" t="inlineStr">
        <is>
          <t xml:space="preserve">RF-170</t>
        </is>
      </c>
      <c r="B25" s="2" t="inlineStr">
        <is>
          <t xml:space="preserve">Revisar</t>
        </is>
      </c>
      <c r="C25" s="2" t="inlineStr">
        <is>
          <t xml:space="preserve">Mantenido</t>
        </is>
      </c>
      <c r="D25" s="2" t="inlineStr">
        <is>
          <t xml:space="preserve">Control de frontera en el servicio de control de cruces, junto con RF-171.</t>
        </is>
      </c>
    </row>
    <row r="26">
      <c r="A26" s="2" t="inlineStr">
        <is>
          <t xml:space="preserve">RF-089</t>
        </is>
      </c>
      <c r="B26" s="2" t="inlineStr">
        <is>
          <t xml:space="preserve">Condicionar</t>
        </is>
      </c>
      <c r="C26" s="2" t="inlineStr">
        <is>
          <t xml:space="preserve">Mantenido con marca de dependencia</t>
        </is>
      </c>
      <c r="D26" s="2" t="inlineStr">
        <is>
          <t xml:space="preserve">Depende de los topes de la filial emisora y de la prueba de factibilidad del crédito sin conexión.</t>
        </is>
      </c>
    </row>
    <row r="27">
      <c r="A27" s="2" t="inlineStr">
        <is>
          <t xml:space="preserve">RF-090</t>
        </is>
      </c>
      <c r="B27" s="2" t="inlineStr">
        <is>
          <t xml:space="preserve">Condicionar</t>
        </is>
      </c>
      <c r="C27" s="2" t="inlineStr">
        <is>
          <t xml:space="preserve">Mantenido con marca de dependencia</t>
        </is>
      </c>
      <c r="D27" s="2" t="inlineStr">
        <is>
          <t xml:space="preserve">Depende de los topes de la filial emisora y de la prueba de factibilidad del crédito sin conexión.</t>
        </is>
      </c>
    </row>
    <row r="28">
      <c r="A28" s="2" t="inlineStr">
        <is>
          <t xml:space="preserve">RF-091</t>
        </is>
      </c>
      <c r="B28" s="2" t="inlineStr">
        <is>
          <t xml:space="preserve">Condicionar</t>
        </is>
      </c>
      <c r="C28" s="2" t="inlineStr">
        <is>
          <t xml:space="preserve">Mantenido con marca de dependencia</t>
        </is>
      </c>
      <c r="D28" s="2" t="inlineStr">
        <is>
          <t xml:space="preserve">Depende de los topes de la filial emisora y de la prueba de factibilidad del crédito sin conexión.</t>
        </is>
      </c>
    </row>
    <row r="29">
      <c r="A29" s="2" t="inlineStr">
        <is>
          <t xml:space="preserve">RF-094</t>
        </is>
      </c>
      <c r="B29" s="2" t="inlineStr">
        <is>
          <t xml:space="preserve">Condicionar</t>
        </is>
      </c>
      <c r="C29" s="2" t="inlineStr">
        <is>
          <t xml:space="preserve">Mantenido con marca de dependencia</t>
        </is>
      </c>
      <c r="D29" s="2" t="inlineStr">
        <is>
          <t xml:space="preserve">Depende de los topes de la filial emisora y de la prueba de factibilidad del crédito sin conexión.</t>
        </is>
      </c>
    </row>
    <row r="30">
      <c r="A30" s="2" t="inlineStr">
        <is>
          <t xml:space="preserve">RF-227</t>
        </is>
      </c>
      <c r="B30" s="2" t="inlineStr">
        <is>
          <t xml:space="preserve">Agregar</t>
        </is>
      </c>
      <c r="C30" s="2" t="inlineStr">
        <is>
          <t xml:space="preserve">Agregado (propuesto por el proponente)</t>
        </is>
      </c>
      <c r="D30" s="2" t="inlineStr">
        <is>
          <t xml:space="preserve">El sistema deberá consolidar en un único registro retail los registros duplicados de un mismo cliente. Propuesto por el proponente. Deriva de la función de deduplicación que incluye el servicio. Por validar.</t>
        </is>
      </c>
    </row>
    <row r="31">
      <c r="A31" s="2" t="inlineStr">
        <is>
          <t xml:space="preserve">RF-228</t>
        </is>
      </c>
      <c r="B31" s="2" t="inlineStr">
        <is>
          <t xml:space="preserve">Agregar</t>
        </is>
      </c>
      <c r="C31" s="2" t="inlineStr">
        <is>
          <t xml:space="preserve">Agregado (propuesto por el proponente)</t>
        </is>
      </c>
      <c r="D31" s="2" t="inlineStr">
        <is>
          <t xml:space="preserve">El sistema deberá registrar cada movimiento de puntos de fidelización de un cliente. Propuesto por el proponente. Deriva de los datos de puntos del sistema de fidelización que el servicio gobierna (Caso cap. 5, EXC-15). Por validar.</t>
        </is>
      </c>
    </row>
    <row r="32">
      <c r="A32" s="2" t="inlineStr">
        <is>
          <t xml:space="preserve">RF-229</t>
        </is>
      </c>
      <c r="B32" s="2" t="inlineStr">
        <is>
          <t xml:space="preserve">Agregar</t>
        </is>
      </c>
      <c r="C32" s="2" t="inlineStr">
        <is>
          <t xml:space="preserve">Agregado (propuesto por el proponente)</t>
        </is>
      </c>
      <c r="D32" s="2" t="inlineStr">
        <is>
          <t xml:space="preserve">El sistema deberá construir los segmentos de clientes del retail exclusivamente con atributos comerciales. Propuesto por el proponente. Deriva de RN-03 y RN-05. El control de frontera lo hacen RF-170 y RF-171. Por validar.</t>
        </is>
      </c>
    </row>
    <row r="33">
      <c r="A33" s="2" t="inlineStr">
        <is>
          <t xml:space="preserve">RF-230</t>
        </is>
      </c>
      <c r="B33" s="2" t="inlineStr">
        <is>
          <t xml:space="preserve">Agregar</t>
        </is>
      </c>
      <c r="C33" s="2" t="inlineStr">
        <is>
          <t xml:space="preserve">Agregado (propuesto por el proponente)</t>
        </is>
      </c>
      <c r="D33" s="2" t="inlineStr">
        <is>
          <t xml:space="preserve">El sistema deberá ejecutar campañas sobre los segmentos de clientes del retail. Propuesto por el proponente. Deriva de las campañas del sistema de fidelización que el servicio gobierna (Caso cap. 5, EXC-15). Por validar.</t>
        </is>
      </c>
    </row>
    <row r="34">
      <c r="A34" s="2" t="inlineStr">
        <is>
          <t xml:space="preserve">RF-231</t>
        </is>
      </c>
      <c r="B34" s="2" t="inlineStr">
        <is>
          <t xml:space="preserve">Agregar</t>
        </is>
      </c>
      <c r="C34" s="2" t="inlineStr">
        <is>
          <t xml:space="preserve">Agregado (propuesto por el proponente)</t>
        </is>
      </c>
      <c r="D34" s="2" t="inlineStr">
        <is>
          <t xml:space="preserve">El sistema deberá sincronizar con el sistema de fidelización conservado los datos de fidelización del cliente. Propuesto por el proponente. Deriva de EXC-15: la fidelización se conserva y se integra al servicio. Por validar.</t>
        </is>
      </c>
    </row>
  </sheetData>
  <pageMargins left="0.5" right="0.5" top="0.6" bottom="0.6" header="0.3" footer="0.3"/>
  <pageSetup orientation="landscape" fitToWidth="1" fitToHeight="0"/>
</worksheet>
</file>

<file path=xl/worksheets/sheet4.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4.5"/>
  <cols>
    <col min="1" max="1" width="10" customWidth="1"/>
    <col min="2" max="2" width="30" customWidth="1"/>
    <col min="3" max="3" width="30" customWidth="1"/>
    <col min="4" max="4" width="8" customWidth="1"/>
    <col min="5" max="5" width="10" customWidth="1"/>
    <col min="6" max="6" width="100" customWidth="1"/>
  </cols>
  <sheetData>
    <row r="1" ht="24" customHeight="1">
      <c r="A1" s="1" t="inlineStr">
        <is>
          <t xml:space="preserve">ID</t>
        </is>
      </c>
      <c r="B1" s="1" t="inlineStr">
        <is>
          <t xml:space="preserve">De</t>
        </is>
      </c>
      <c r="C1" s="1" t="inlineStr">
        <is>
          <t xml:space="preserve">A</t>
        </is>
      </c>
      <c r="D1" s="1" t="inlineStr">
        <is>
          <t xml:space="preserve">Etapa</t>
        </is>
      </c>
      <c r="E1" s="1" t="inlineStr">
        <is>
          <t xml:space="preserve">Prioridad</t>
        </is>
      </c>
      <c r="F1" s="1" t="inlineStr">
        <is>
          <t xml:space="preserve">Motivo</t>
        </is>
      </c>
    </row>
    <row r="2">
      <c r="A2" s="2" t="inlineStr">
        <is>
          <t xml:space="preserve">RF-038</t>
        </is>
      </c>
      <c r="B2" s="2" t="inlineStr">
        <is>
          <t xml:space="preserve">Servicio de pedidos</t>
        </is>
      </c>
      <c r="C2" s="2" t="inlineStr">
        <is>
          <t xml:space="preserve">Servicio de existencias</t>
        </is>
      </c>
      <c r="D2" s="4" t="inlineStr">
        <is>
          <t xml:space="preserve">1</t>
        </is>
      </c>
      <c r="E2" s="4" t="inlineStr">
        <is>
          <t xml:space="preserve">Alta</t>
        </is>
      </c>
      <c r="F2" s="2" t="inlineStr">
        <is>
          <t xml:space="preserve">Impedir el doble compromiso de una unidad es parte de la reserva, dato del servicio de existencias.</t>
        </is>
      </c>
    </row>
    <row r="3">
      <c r="A3" s="2" t="inlineStr">
        <is>
          <t xml:space="preserve">RF-056</t>
        </is>
      </c>
      <c r="B3" s="2" t="inlineStr">
        <is>
          <t xml:space="preserve">Servicio de existencias</t>
        </is>
      </c>
      <c r="C3" s="2" t="inlineStr">
        <is>
          <t xml:space="preserve">Servicio de pedidos</t>
        </is>
      </c>
      <c r="D3" s="4" t="inlineStr">
        <is>
          <t xml:space="preserve">2</t>
        </is>
      </c>
      <c r="E3" s="4" t="inlineStr">
        <is>
          <t xml:space="preserve">Media</t>
        </is>
      </c>
      <c r="F3" s="2" t="inlineStr">
        <is>
          <t xml:space="preserve">Reasignar el pedido es parte del ciclo del pedido.</t>
        </is>
      </c>
    </row>
    <row r="4">
      <c r="A4" s="2" t="inlineStr">
        <is>
          <t xml:space="preserve">RF-064</t>
        </is>
      </c>
      <c r="B4" s="2" t="inlineStr">
        <is>
          <t xml:space="preserve">Servicio de pedidos</t>
        </is>
      </c>
      <c r="C4" s="2" t="inlineStr">
        <is>
          <t xml:space="preserve">Servicio de oferta comercial</t>
        </is>
      </c>
      <c r="D4" s="4" t="inlineStr">
        <is>
          <t xml:space="preserve">1</t>
        </is>
      </c>
      <c r="E4" s="4" t="inlineStr">
        <is>
          <t xml:space="preserve">Alta</t>
        </is>
      </c>
      <c r="F4" s="2" t="inlineStr">
        <is>
          <t xml:space="preserve">El precio vigente es dato del servicio de oferta comercial. La consulta pública es parte del portal de la Etapa 1.</t>
        </is>
      </c>
    </row>
    <row r="5">
      <c r="A5" s="2" t="inlineStr">
        <is>
          <t xml:space="preserve">RF-065</t>
        </is>
      </c>
      <c r="B5" s="2" t="inlineStr">
        <is>
          <t xml:space="preserve">Servicio de pedidos</t>
        </is>
      </c>
      <c r="C5" s="2" t="inlineStr">
        <is>
          <t xml:space="preserve">Servicio de existencias</t>
        </is>
      </c>
      <c r="D5" s="4" t="inlineStr">
        <is>
          <t xml:space="preserve">1</t>
        </is>
      </c>
      <c r="E5" s="4" t="inlineStr">
        <is>
          <t xml:space="preserve">Alta</t>
        </is>
      </c>
      <c r="F5" s="2" t="inlineStr">
        <is>
          <t xml:space="preserve">La disponibilidad es dato del servicio de existencias. La consulta pública es parte del portal de la Etapa 1.</t>
        </is>
      </c>
    </row>
    <row r="6">
      <c r="A6" s="2" t="inlineStr">
        <is>
          <t xml:space="preserve">RF-066</t>
        </is>
      </c>
      <c r="B6" s="2" t="inlineStr">
        <is>
          <t xml:space="preserve">Servicio de pedidos</t>
        </is>
      </c>
      <c r="C6" s="2" t="inlineStr">
        <is>
          <t xml:space="preserve">Servicio de existencias</t>
        </is>
      </c>
      <c r="D6" s="4" t="inlineStr">
        <is>
          <t xml:space="preserve">1</t>
        </is>
      </c>
      <c r="E6" s="4" t="inlineStr">
        <is>
          <t xml:space="preserve">Alta</t>
        </is>
      </c>
      <c r="F6" s="2" t="inlineStr">
        <is>
          <t xml:space="preserve">La disponibilidad es dato del servicio de existencias. La consulta pública es parte del portal de la Etapa 1.</t>
        </is>
      </c>
    </row>
    <row r="7">
      <c r="A7" s="2" t="inlineStr">
        <is>
          <t xml:space="preserve">RF-069</t>
        </is>
      </c>
      <c r="B7" s="2" t="inlineStr">
        <is>
          <t xml:space="preserve">Servicio de pedidos</t>
        </is>
      </c>
      <c r="C7" s="2" t="inlineStr">
        <is>
          <t xml:space="preserve">Servicio de cartera de crédito</t>
        </is>
      </c>
      <c r="D7" s="4" t="inlineStr">
        <is>
          <t xml:space="preserve">2</t>
        </is>
      </c>
      <c r="E7" s="4" t="inlineStr">
        <is>
          <t xml:space="preserve">Media</t>
        </is>
      </c>
      <c r="F7" s="2" t="inlineStr">
        <is>
          <t xml:space="preserve">El estado de cuenta es dato de la filial emisora y la consulta pasa por el control de cruces (RF-165 y RF-174). Portal del cliente de la Etapa 2.</t>
        </is>
      </c>
    </row>
    <row r="8">
      <c r="A8" s="2" t="inlineStr">
        <is>
          <t xml:space="preserve">RF-070</t>
        </is>
      </c>
      <c r="B8" s="2" t="inlineStr">
        <is>
          <t xml:space="preserve">Servicio de pedidos</t>
        </is>
      </c>
      <c r="C8" s="2" t="inlineStr">
        <is>
          <t xml:space="preserve">Servicio de cartera de crédito</t>
        </is>
      </c>
      <c r="D8" s="4" t="inlineStr">
        <is>
          <t xml:space="preserve">2</t>
        </is>
      </c>
      <c r="E8" s="4" t="inlineStr">
        <is>
          <t xml:space="preserve">Media</t>
        </is>
      </c>
      <c r="F8" s="2" t="inlineStr">
        <is>
          <t xml:space="preserve">Los documentos del crédito son datos de la filial emisora y la consulta pasa por el control de cruces (RF-165 y RF-174). Portal del cliente de la Etapa 2.</t>
        </is>
      </c>
    </row>
    <row r="9">
      <c r="A9" s="2" t="inlineStr">
        <is>
          <t xml:space="preserve">RF-101</t>
        </is>
      </c>
      <c r="B9" s="2" t="inlineStr">
        <is>
          <t xml:space="preserve">Servicio de ventas</t>
        </is>
      </c>
      <c r="C9" s="2" t="inlineStr">
        <is>
          <t xml:space="preserve">Servicio de existencias</t>
        </is>
      </c>
      <c r="D9" s="4" t="inlineStr">
        <is>
          <t xml:space="preserve">1</t>
        </is>
      </c>
      <c r="E9" s="4" t="inlineStr">
        <is>
          <t xml:space="preserve">Alta</t>
        </is>
      </c>
      <c r="F9" s="2" t="inlineStr">
        <is>
          <t xml:space="preserve">La disponibilidad para vender es dato del servicio de existencias; la consulta sin conexión usa su copia local.</t>
        </is>
      </c>
    </row>
    <row r="10">
      <c r="A10" s="2" t="inlineStr">
        <is>
          <t xml:space="preserve">RF-138</t>
        </is>
      </c>
      <c r="B10" s="2" t="inlineStr">
        <is>
          <t xml:space="preserve">Servicio de abastecimiento</t>
        </is>
      </c>
      <c r="C10" s="2" t="inlineStr">
        <is>
          <t xml:space="preserve">Servicio de existencias</t>
        </is>
      </c>
      <c r="D10" s="4" t="inlineStr">
        <is>
          <t xml:space="preserve">1</t>
        </is>
      </c>
      <c r="E10" s="4" t="inlineStr">
        <is>
          <t xml:space="preserve">Alta</t>
        </is>
      </c>
      <c r="F10" s="2" t="inlineStr">
        <is>
          <t xml:space="preserve">Clasificar la merma de un ajuste de inventario es parte del servicio de existencias, igual que RF-139 a RF-141.</t>
        </is>
      </c>
    </row>
    <row r="11">
      <c r="A11" s="2" t="inlineStr">
        <is>
          <t xml:space="preserve">RF-142</t>
        </is>
      </c>
      <c r="B11" s="2" t="inlineStr">
        <is>
          <t xml:space="preserve">Servicio de existencias</t>
        </is>
      </c>
      <c r="C11" s="2" t="inlineStr">
        <is>
          <t xml:space="preserve">Servicio de oferta comercial</t>
        </is>
      </c>
      <c r="D11" s="4" t="inlineStr">
        <is>
          <t xml:space="preserve">1</t>
        </is>
      </c>
      <c r="E11" s="4" t="inlineStr">
        <is>
          <t xml:space="preserve">Alta</t>
        </is>
      </c>
      <c r="F11" s="2" t="inlineStr">
        <is>
          <t xml:space="preserve">Los atributos del maestro de artículos son datos del servicio de oferta comercial.</t>
        </is>
      </c>
    </row>
    <row r="12">
      <c r="A12" s="2" t="inlineStr">
        <is>
          <t xml:space="preserve">RF-143</t>
        </is>
      </c>
      <c r="B12" s="2" t="inlineStr">
        <is>
          <t xml:space="preserve">Servicio de existencias</t>
        </is>
      </c>
      <c r="C12" s="2" t="inlineStr">
        <is>
          <t xml:space="preserve">Servicio de oferta comercial</t>
        </is>
      </c>
      <c r="D12" s="4" t="inlineStr">
        <is>
          <t xml:space="preserve">1</t>
        </is>
      </c>
      <c r="E12" s="4" t="inlineStr">
        <is>
          <t xml:space="preserve">Alta</t>
        </is>
      </c>
      <c r="F12" s="2" t="inlineStr">
        <is>
          <t xml:space="preserve">La publicación de la referencia es función del servicio de oferta comercial.</t>
        </is>
      </c>
    </row>
    <row r="13">
      <c r="A13" s="2" t="inlineStr">
        <is>
          <t xml:space="preserve">RF-146</t>
        </is>
      </c>
      <c r="B13" s="2" t="inlineStr">
        <is>
          <t xml:space="preserve">Servicio de existencias</t>
        </is>
      </c>
      <c r="C13" s="2" t="inlineStr">
        <is>
          <t xml:space="preserve">Servicio de abastecimiento</t>
        </is>
      </c>
      <c r="D13" s="4" t="inlineStr">
        <is>
          <t xml:space="preserve">2</t>
        </is>
      </c>
      <c r="E13" s="4" t="inlineStr">
        <is>
          <t xml:space="preserve">Media</t>
        </is>
      </c>
      <c r="F13" s="2" t="inlineStr">
        <is>
          <t xml:space="preserve">Ajustar la propuesta de reposición es parte del servicio de abastecimiento, igual que RF-144 y RF-145.</t>
        </is>
      </c>
    </row>
    <row r="14">
      <c r="A14" s="2" t="inlineStr">
        <is>
          <t xml:space="preserve">RF-147</t>
        </is>
      </c>
      <c r="B14" s="2" t="inlineStr">
        <is>
          <t xml:space="preserve">Servicio de existencias</t>
        </is>
      </c>
      <c r="C14" s="2" t="inlineStr">
        <is>
          <t xml:space="preserve">Servicio de oferta comercial</t>
        </is>
      </c>
      <c r="D14" s="4" t="inlineStr">
        <is>
          <t xml:space="preserve">1</t>
        </is>
      </c>
      <c r="E14" s="4" t="inlineStr">
        <is>
          <t xml:space="preserve">Alta</t>
        </is>
      </c>
      <c r="F14" s="2" t="inlineStr">
        <is>
          <t xml:space="preserve">Los atributos del maestro de artículos son datos del servicio de oferta comercial.</t>
        </is>
      </c>
    </row>
    <row r="15">
      <c r="A15" s="2" t="inlineStr">
        <is>
          <t xml:space="preserve">RF-148</t>
        </is>
      </c>
      <c r="B15" s="2" t="inlineStr">
        <is>
          <t xml:space="preserve">Servicio de existencias</t>
        </is>
      </c>
      <c r="C15" s="2" t="inlineStr">
        <is>
          <t xml:space="preserve">Servicio de oferta comercial</t>
        </is>
      </c>
      <c r="D15" s="4" t="inlineStr">
        <is>
          <t xml:space="preserve">1</t>
        </is>
      </c>
      <c r="E15" s="4" t="inlineStr">
        <is>
          <t xml:space="preserve">Alta</t>
        </is>
      </c>
      <c r="F15" s="2" t="inlineStr">
        <is>
          <t xml:space="preserve">La publicación de la referencia es función del servicio de oferta comercial.</t>
        </is>
      </c>
    </row>
    <row r="16">
      <c r="A16" s="2" t="inlineStr">
        <is>
          <t xml:space="preserve">RF-180</t>
        </is>
      </c>
      <c r="B16" s="2" t="inlineStr">
        <is>
          <t xml:space="preserve">Base tecnológica</t>
        </is>
      </c>
      <c r="C16" s="2" t="inlineStr">
        <is>
          <t xml:space="preserve">Servicio de pedidos</t>
        </is>
      </c>
      <c r="D16" s="4" t="inlineStr">
        <is>
          <t xml:space="preserve">2</t>
        </is>
      </c>
      <c r="E16" s="4" t="inlineStr">
        <is>
          <t xml:space="preserve">Media</t>
        </is>
      </c>
      <c r="F16" s="2" t="inlineStr">
        <is>
          <t xml:space="preserve">El límite de unidades por cliente es un parámetro del pedido. Su aplicación en el primer evento anual se confirma en la arquitectura y en el plan de riesgos.</t>
        </is>
      </c>
    </row>
    <row r="17">
      <c r="A17" s="2" t="inlineStr">
        <is>
          <t xml:space="preserve">RF-181</t>
        </is>
      </c>
      <c r="B17" s="2" t="inlineStr">
        <is>
          <t xml:space="preserve">Base tecnológica</t>
        </is>
      </c>
      <c r="C17" s="2" t="inlineStr">
        <is>
          <t xml:space="preserve">Servicio de ventas</t>
        </is>
      </c>
      <c r="D17" s="4" t="inlineStr">
        <is>
          <t xml:space="preserve">1</t>
        </is>
      </c>
      <c r="E17" s="4" t="inlineStr">
        <is>
          <t xml:space="preserve">Alta</t>
        </is>
      </c>
      <c r="F17" s="2" t="inlineStr">
        <is>
          <t xml:space="preserve">Los medios de pago son datos del servicio de ventas.</t>
        </is>
      </c>
    </row>
    <row r="18">
      <c r="A18" s="2" t="inlineStr">
        <is>
          <t xml:space="preserve">RF-210</t>
        </is>
      </c>
      <c r="B18" s="2" t="inlineStr">
        <is>
          <t xml:space="preserve">Servicio de originación de crédito</t>
        </is>
      </c>
      <c r="C18" s="2" t="inlineStr">
        <is>
          <t xml:space="preserve">Servicio de evidencia financiera</t>
        </is>
      </c>
      <c r="D18" s="4" t="inlineStr">
        <is>
          <t xml:space="preserve">1</t>
        </is>
      </c>
      <c r="E18" s="4" t="inlineStr">
        <is>
          <t xml:space="preserve">Alta</t>
        </is>
      </c>
      <c r="F18" s="2" t="inlineStr">
        <is>
          <t xml:space="preserve">Recuperar los antecedentes de una operación de crédito es función de la evidencia financiera.</t>
        </is>
      </c>
    </row>
    <row r="19">
      <c r="A19" s="2" t="inlineStr">
        <is>
          <t xml:space="preserve">RF-221</t>
        </is>
      </c>
      <c r="B19" s="2" t="inlineStr">
        <is>
          <t xml:space="preserve">Servicio de cartera de crédito</t>
        </is>
      </c>
      <c r="C19" s="2" t="inlineStr">
        <is>
          <t xml:space="preserve">Servicio de originación de crédito</t>
        </is>
      </c>
      <c r="D19" s="4" t="inlineStr">
        <is>
          <t xml:space="preserve">1</t>
        </is>
      </c>
      <c r="E19" s="4" t="inlineStr">
        <is>
          <t xml:space="preserve">Alta</t>
        </is>
      </c>
      <c r="F19" s="2" t="inlineStr">
        <is>
          <t xml:space="preserve">Determinar el cupo es parte de la evaluación de la originación, igual que RF-218 a RF-220.</t>
        </is>
      </c>
    </row>
    <row r="20">
      <c r="A20" s="2" t="inlineStr">
        <is>
          <t xml:space="preserve">RNF-46</t>
        </is>
      </c>
      <c r="B20" s="2" t="inlineStr">
        <is>
          <t xml:space="preserve">Base tecnológica</t>
        </is>
      </c>
      <c r="C20" s="2" t="inlineStr">
        <is>
          <t xml:space="preserve">Servicio de clientes Retail</t>
        </is>
      </c>
      <c r="D20" s="4" t="inlineStr">
        <is>
          <t xml:space="preserve">2</t>
        </is>
      </c>
      <c r="E20" s="4" t="inlineStr">
        <is>
          <t xml:space="preserve">Alta</t>
        </is>
      </c>
      <c r="F20" s="2" t="inlineStr">
        <is>
          <t xml:space="preserve">Antes sin servicio dueño. Los datos de fidelización son del servicio de clientes Retail (EXC-15). La retención rige desde que el servicio los gobierna, en la Etapa 2.</t>
        </is>
      </c>
    </row>
    <row r="21">
      <c r="A21" s="2" t="inlineStr">
        <is>
          <t xml:space="preserve">RF-188</t>
        </is>
      </c>
      <c r="B21" s="2" t="inlineStr">
        <is>
          <t xml:space="preserve">Servicio de posventa</t>
        </is>
      </c>
      <c r="C21" s="2" t="inlineStr">
        <is>
          <t xml:space="preserve">Servicio de posventa</t>
        </is>
      </c>
      <c r="D21" s="4" t="inlineStr">
        <is>
          <t xml:space="preserve">2</t>
        </is>
      </c>
      <c r="E21" s="4" t="inlineStr">
        <is>
          <t xml:space="preserve">Alta</t>
        </is>
      </c>
      <c r="F21" s="2" t="inlineStr">
        <is>
          <t xml:space="preserve">Sube a prioridad alta: sostiene la restricción 7 (la garantía legal se ejerce ante la compañía, sin derivar al consumidor).</t>
        </is>
      </c>
    </row>
    <row r="22">
      <c r="A22" s="2" t="inlineStr">
        <is>
          <t xml:space="preserve">RNF-04</t>
        </is>
      </c>
      <c r="B22" s="2" t="inlineStr">
        <is>
          <t xml:space="preserve">Etapa 1</t>
        </is>
      </c>
      <c r="C22" s="2" t="inlineStr">
        <is>
          <t xml:space="preserve">Etapa 2</t>
        </is>
      </c>
      <c r="D22" s="4" t="inlineStr">
        <is>
          <t xml:space="preserve">2</t>
        </is>
      </c>
      <c r="E22" s="4" t="inlineStr">
        <is>
          <t xml:space="preserve">Alta</t>
        </is>
      </c>
      <c r="F22" s="2" t="inlineStr">
        <is>
          <t xml:space="preserve">Mide el servicio de pedidos, de la Etapa 2.</t>
        </is>
      </c>
    </row>
    <row r="23">
      <c r="A23" s="2" t="inlineStr">
        <is>
          <t xml:space="preserve">RNF-05</t>
        </is>
      </c>
      <c r="B23" s="2" t="inlineStr">
        <is>
          <t xml:space="preserve">Etapa 1</t>
        </is>
      </c>
      <c r="C23" s="2" t="inlineStr">
        <is>
          <t xml:space="preserve">Etapa 2</t>
        </is>
      </c>
      <c r="D23" s="4" t="inlineStr">
        <is>
          <t xml:space="preserve">2</t>
        </is>
      </c>
      <c r="E23" s="4" t="inlineStr">
        <is>
          <t xml:space="preserve">Alta</t>
        </is>
      </c>
      <c r="F23" s="2" t="inlineStr">
        <is>
          <t xml:space="preserve">Mide el servicio de pedidos, de la Etapa 2.</t>
        </is>
      </c>
    </row>
    <row r="24">
      <c r="A24" s="2" t="inlineStr">
        <is>
          <t xml:space="preserve">RNF-17</t>
        </is>
      </c>
      <c r="B24" s="2" t="inlineStr">
        <is>
          <t xml:space="preserve">Etapa 1</t>
        </is>
      </c>
      <c r="C24" s="2" t="inlineStr">
        <is>
          <t xml:space="preserve">Etapa 2</t>
        </is>
      </c>
      <c r="D24" s="4" t="inlineStr">
        <is>
          <t xml:space="preserve">2</t>
        </is>
      </c>
      <c r="E24" s="4" t="inlineStr">
        <is>
          <t xml:space="preserve">Alta</t>
        </is>
      </c>
      <c r="F24" s="2" t="inlineStr">
        <is>
          <t xml:space="preserve">Mide el servicio de pedidos, de la Etapa 2.</t>
        </is>
      </c>
    </row>
    <row r="25">
      <c r="A25" s="2" t="inlineStr">
        <is>
          <t xml:space="preserve">RNF-64</t>
        </is>
      </c>
      <c r="B25" s="2" t="inlineStr">
        <is>
          <t xml:space="preserve">Etapa 1</t>
        </is>
      </c>
      <c r="C25" s="2" t="inlineStr">
        <is>
          <t xml:space="preserve">Etapa 2</t>
        </is>
      </c>
      <c r="D25" s="4" t="inlineStr">
        <is>
          <t xml:space="preserve">2</t>
        </is>
      </c>
      <c r="E25" s="4" t="inlineStr">
        <is>
          <t xml:space="preserve">Alta</t>
        </is>
      </c>
      <c r="F25" s="2" t="inlineStr">
        <is>
          <t xml:space="preserve">Mide el servicio de pedidos, de la Etapa 2.</t>
        </is>
      </c>
    </row>
    <row r="26">
      <c r="A26" s="2" t="inlineStr">
        <is>
          <t xml:space="preserve">RNF-65</t>
        </is>
      </c>
      <c r="B26" s="2" t="inlineStr">
        <is>
          <t xml:space="preserve">Etapa 1</t>
        </is>
      </c>
      <c r="C26" s="2" t="inlineStr">
        <is>
          <t xml:space="preserve">Etapa 2</t>
        </is>
      </c>
      <c r="D26" s="4" t="inlineStr">
        <is>
          <t xml:space="preserve">2</t>
        </is>
      </c>
      <c r="E26" s="4" t="inlineStr">
        <is>
          <t xml:space="preserve">Alta</t>
        </is>
      </c>
      <c r="F26" s="2" t="inlineStr">
        <is>
          <t xml:space="preserve">Mide el servicio de pedidos, de la Etapa 2.</t>
        </is>
      </c>
    </row>
    <row r="27">
      <c r="A27" s="2" t="inlineStr">
        <is>
          <t xml:space="preserve">RNF-02</t>
        </is>
      </c>
      <c r="B27" s="2" t="inlineStr">
        <is>
          <t xml:space="preserve">Etapa 1</t>
        </is>
      </c>
      <c r="C27" s="2" t="inlineStr">
        <is>
          <t xml:space="preserve">Etapa 2</t>
        </is>
      </c>
      <c r="D27" s="4" t="inlineStr">
        <is>
          <t xml:space="preserve">2</t>
        </is>
      </c>
      <c r="E27" s="4" t="inlineStr">
        <is>
          <t xml:space="preserve">Alta</t>
        </is>
      </c>
      <c r="F27" s="2" t="inlineStr">
        <is>
          <t xml:space="preserve">Mide el servicio de marketplace, de la Etapa 2.</t>
        </is>
      </c>
    </row>
    <row r="28">
      <c r="A28" s="2" t="inlineStr">
        <is>
          <t xml:space="preserve">RNF-55</t>
        </is>
      </c>
      <c r="B28" s="2" t="inlineStr">
        <is>
          <t xml:space="preserve">Etapa 1</t>
        </is>
      </c>
      <c r="C28" s="2" t="inlineStr">
        <is>
          <t xml:space="preserve">Etapa 2</t>
        </is>
      </c>
      <c r="D28" s="4" t="inlineStr">
        <is>
          <t xml:space="preserve">2</t>
        </is>
      </c>
      <c r="E28" s="4" t="inlineStr">
        <is>
          <t xml:space="preserve">Alta</t>
        </is>
      </c>
      <c r="F28" s="2" t="inlineStr">
        <is>
          <t xml:space="preserve">Mide el servicio de marketplace, de la Etapa 2.</t>
        </is>
      </c>
    </row>
    <row r="29">
      <c r="A29" s="2" t="inlineStr">
        <is>
          <t xml:space="preserve">RNF-66</t>
        </is>
      </c>
      <c r="B29" s="2" t="inlineStr">
        <is>
          <t xml:space="preserve">Etapa 1</t>
        </is>
      </c>
      <c r="C29" s="2" t="inlineStr">
        <is>
          <t xml:space="preserve">Etapa 2</t>
        </is>
      </c>
      <c r="D29" s="4" t="inlineStr">
        <is>
          <t xml:space="preserve">2</t>
        </is>
      </c>
      <c r="E29" s="4" t="inlineStr">
        <is>
          <t xml:space="preserve">Alta</t>
        </is>
      </c>
      <c r="F29" s="2" t="inlineStr">
        <is>
          <t xml:space="preserve">Mide el servicio de marketplace, de la Etapa 2.</t>
        </is>
      </c>
    </row>
    <row r="30">
      <c r="A30" s="2" t="inlineStr">
        <is>
          <t xml:space="preserve">RNF-67</t>
        </is>
      </c>
      <c r="B30" s="2" t="inlineStr">
        <is>
          <t xml:space="preserve">Etapa 1</t>
        </is>
      </c>
      <c r="C30" s="2" t="inlineStr">
        <is>
          <t xml:space="preserve">Etapa 2</t>
        </is>
      </c>
      <c r="D30" s="4" t="inlineStr">
        <is>
          <t xml:space="preserve">2</t>
        </is>
      </c>
      <c r="E30" s="4" t="inlineStr">
        <is>
          <t xml:space="preserve">Alta</t>
        </is>
      </c>
      <c r="F30" s="2" t="inlineStr">
        <is>
          <t xml:space="preserve">Mide el servicio de marketplace, de la Etapa 2.</t>
        </is>
      </c>
    </row>
    <row r="31">
      <c r="A31" s="2" t="inlineStr">
        <is>
          <t xml:space="preserve">RNF-69</t>
        </is>
      </c>
      <c r="B31" s="2" t="inlineStr">
        <is>
          <t xml:space="preserve">Etapa 1</t>
        </is>
      </c>
      <c r="C31" s="2" t="inlineStr">
        <is>
          <t xml:space="preserve">Etapa 2</t>
        </is>
      </c>
      <c r="D31" s="4" t="inlineStr">
        <is>
          <t xml:space="preserve">2</t>
        </is>
      </c>
      <c r="E31" s="4" t="inlineStr">
        <is>
          <t xml:space="preserve">Alta</t>
        </is>
      </c>
      <c r="F31" s="2" t="inlineStr">
        <is>
          <t xml:space="preserve">Mide el servicio de posventa, de la Etapa 2.</t>
        </is>
      </c>
    </row>
  </sheetData>
  <pageMargins left="0.5" right="0.5" top="0.6" bottom="0.6" header="0.3" footer="0.3"/>
  <pageSetup orientation="landscape" fitToWidth="1" fitToHeight="0"/>
</worksheet>
</file>

<file path=xl/worksheets/sheet5.xml><?xml version="1.0" encoding="utf-8"?>
<worksheet xmlns="http://schemas.openxmlformats.org/spreadsheetml/2006/main">
  <sheetPr>
    <pageSetUpPr fitToPage="1"/>
  </sheetPr>
  <sheetViews>
    <sheetView workbookViewId="0" showGridLines="0"/>
  </sheetViews>
  <sheetFormatPr defaultRowHeight="14.5"/>
  <cols>
    <col min="1" max="1" width="40" customWidth="1"/>
    <col min="2" max="2" width="12" customWidth="1"/>
    <col min="3" max="3" width="12" customWidth="1"/>
    <col min="4" max="4" width="12" customWidth="1"/>
    <col min="5" max="5" width="12" customWidth="1"/>
  </cols>
  <sheetData>
    <row r="1">
      <c r="A1" s="3" t="inlineStr">
        <is>
          <t xml:space="preserve">Resumen del catálogo vigente</t>
        </is>
      </c>
    </row>
    <row r="2">
      <c r="A2" s="9" t="inlineStr">
        <is>
          <t xml:space="preserve">Los valores se calculan por fórmula sobre la hoja 1_Catalogo_Vigente.</t>
        </is>
      </c>
    </row>
    <row r="3"/>
    <row r="4" ht="22" customHeight="1">
      <c r="A4" s="1" t="inlineStr">
        <is>
          <t xml:space="preserve">Tipo</t>
        </is>
      </c>
      <c r="B4" s="1" t="inlineStr">
        <is>
          <t xml:space="preserve">Cantidad</t>
        </is>
      </c>
    </row>
    <row r="5">
      <c r="A5" s="2" t="inlineStr">
        <is>
          <t xml:space="preserve">Requerimientos funcionales (RF)</t>
        </is>
      </c>
      <c r="B5" s="4">
        <f>COUNTIF('1_Catalogo_Vigente'!$B$2:$B$309,"RF")</f>
        <v>227</v>
      </c>
    </row>
    <row r="6">
      <c r="A6" s="2" t="inlineStr">
        <is>
          <t xml:space="preserve">Requerimientos no funcionales (RNF)</t>
        </is>
      </c>
      <c r="B6" s="4">
        <f>COUNTIF('1_Catalogo_Vigente'!$B$2:$B$309,"RNF")</f>
        <v>72</v>
      </c>
    </row>
    <row r="7">
      <c r="A7" s="2" t="inlineStr">
        <is>
          <t xml:space="preserve">Obligaciones del proponente (OP)</t>
        </is>
      </c>
      <c r="B7" s="4">
        <f>COUNTIF('1_Catalogo_Vigente'!$B$2:$B$309,"OP")</f>
        <v>9</v>
      </c>
    </row>
    <row r="8">
      <c r="A8" s="8" t="inlineStr">
        <is>
          <t xml:space="preserve">Total</t>
        </is>
      </c>
      <c r="B8" s="4">
        <f>COUNTA('1_Catalogo_Vigente'!$A$2:$A$309)</f>
        <v>308</v>
      </c>
    </row>
    <row r="9"/>
    <row r="10" ht="22" customHeight="1">
      <c r="A10" s="1" t="inlineStr">
        <is>
          <t xml:space="preserve">Etapa</t>
        </is>
      </c>
      <c r="B10" s="1" t="inlineStr">
        <is>
          <t xml:space="preserve">RF</t>
        </is>
      </c>
      <c r="C10" s="1" t="inlineStr">
        <is>
          <t xml:space="preserve">RNF</t>
        </is>
      </c>
      <c r="D10" s="1" t="inlineStr">
        <is>
          <t xml:space="preserve">OP</t>
        </is>
      </c>
    </row>
    <row r="11">
      <c r="A11" s="2" t="inlineStr">
        <is>
          <t xml:space="preserve">Etapa 1</t>
        </is>
      </c>
      <c r="B11" s="4">
        <f>COUNTIFS('1_Catalogo_Vigente'!$G$2:$G$309,"1",'1_Catalogo_Vigente'!$B$2:$B$309,"RF")</f>
        <v>142</v>
      </c>
      <c r="C11" s="4">
        <f>COUNTIFS('1_Catalogo_Vigente'!$G$2:$G$309,"1",'1_Catalogo_Vigente'!$B$2:$B$309,"RNF")</f>
        <v>61</v>
      </c>
      <c r="D11" s="4">
        <f>COUNTIFS('1_Catalogo_Vigente'!$G$2:$G$309,"1",'1_Catalogo_Vigente'!$B$2:$B$309,"OP")</f>
        <v>0</v>
      </c>
    </row>
    <row r="12">
      <c r="A12" s="2" t="inlineStr">
        <is>
          <t xml:space="preserve">Etapa 1 y 2</t>
        </is>
      </c>
      <c r="B12" s="4">
        <f>COUNTIFS('1_Catalogo_Vigente'!$G$2:$G$309,"1 y 2",'1_Catalogo_Vigente'!$B$2:$B$309,"RF")</f>
        <v>4</v>
      </c>
      <c r="C12" s="4">
        <f>COUNTIFS('1_Catalogo_Vigente'!$G$2:$G$309,"1 y 2",'1_Catalogo_Vigente'!$B$2:$B$309,"RNF")</f>
        <v>0</v>
      </c>
      <c r="D12" s="4">
        <f>COUNTIFS('1_Catalogo_Vigente'!$G$2:$G$309,"1 y 2",'1_Catalogo_Vigente'!$B$2:$B$309,"OP")</f>
        <v>0</v>
      </c>
    </row>
    <row r="13">
      <c r="A13" s="2" t="inlineStr">
        <is>
          <t xml:space="preserve">Etapa 2</t>
        </is>
      </c>
      <c r="B13" s="4">
        <f>COUNTIFS('1_Catalogo_Vigente'!$G$2:$G$309,"2",'1_Catalogo_Vigente'!$B$2:$B$309,"RF")</f>
        <v>81</v>
      </c>
      <c r="C13" s="4">
        <f>COUNTIFS('1_Catalogo_Vigente'!$G$2:$G$309,"2",'1_Catalogo_Vigente'!$B$2:$B$309,"RNF")</f>
        <v>11</v>
      </c>
      <c r="D13" s="4">
        <f>COUNTIFS('1_Catalogo_Vigente'!$G$2:$G$309,"2",'1_Catalogo_Vigente'!$B$2:$B$309,"OP")</f>
        <v>0</v>
      </c>
    </row>
    <row r="14">
      <c r="A14" s="2" t="inlineStr">
        <is>
          <t xml:space="preserve">Todo el proyecto</t>
        </is>
      </c>
      <c r="B14" s="4">
        <f>COUNTIFS('1_Catalogo_Vigente'!$G$2:$G$309,"Todo el proyecto",'1_Catalogo_Vigente'!$B$2:$B$309,"RF")</f>
        <v>0</v>
      </c>
      <c r="C14" s="4">
        <f>COUNTIFS('1_Catalogo_Vigente'!$G$2:$G$309,"Todo el proyecto",'1_Catalogo_Vigente'!$B$2:$B$309,"RNF")</f>
        <v>0</v>
      </c>
      <c r="D14" s="4">
        <f>COUNTIFS('1_Catalogo_Vigente'!$G$2:$G$309,"Todo el proyecto",'1_Catalogo_Vigente'!$B$2:$B$309,"OP")</f>
        <v>9</v>
      </c>
    </row>
    <row r="15"/>
    <row r="16" ht="22" customHeight="1">
      <c r="A16" s="1" t="inlineStr">
        <is>
          <t xml:space="preserve">Prioridad</t>
        </is>
      </c>
      <c r="B16" s="1" t="inlineStr">
        <is>
          <t xml:space="preserve">RF</t>
        </is>
      </c>
      <c r="C16" s="1" t="inlineStr">
        <is>
          <t xml:space="preserve">RNF</t>
        </is>
      </c>
      <c r="D16" s="1" t="inlineStr">
        <is>
          <t xml:space="preserve">OP</t>
        </is>
      </c>
    </row>
    <row r="17">
      <c r="A17" s="2" t="inlineStr">
        <is>
          <t xml:space="preserve">Alta</t>
        </is>
      </c>
      <c r="B17" s="4">
        <f>COUNTIFS('1_Catalogo_Vigente'!$H$2:$H$309,"Alta",'1_Catalogo_Vigente'!$B$2:$B$309,"RF")</f>
        <v>152</v>
      </c>
      <c r="C17" s="4">
        <f>COUNTIFS('1_Catalogo_Vigente'!$H$2:$H$309,"Alta",'1_Catalogo_Vigente'!$B$2:$B$309,"RNF")</f>
        <v>72</v>
      </c>
      <c r="D17" s="4">
        <f>COUNTIFS('1_Catalogo_Vigente'!$H$2:$H$309,"Alta",'1_Catalogo_Vigente'!$B$2:$B$309,"OP")</f>
        <v>9</v>
      </c>
    </row>
    <row r="18">
      <c r="A18" s="2" t="inlineStr">
        <is>
          <t xml:space="preserve">Media</t>
        </is>
      </c>
      <c r="B18" s="4">
        <f>COUNTIFS('1_Catalogo_Vigente'!$H$2:$H$309,"Media",'1_Catalogo_Vigente'!$B$2:$B$309,"RF")</f>
        <v>75</v>
      </c>
      <c r="C18" s="4">
        <f>COUNTIFS('1_Catalogo_Vigente'!$H$2:$H$309,"Media",'1_Catalogo_Vigente'!$B$2:$B$309,"RNF")</f>
        <v>0</v>
      </c>
      <c r="D18" s="4">
        <f>COUNTIFS('1_Catalogo_Vigente'!$H$2:$H$309,"Media",'1_Catalogo_Vigente'!$B$2:$B$309,"OP")</f>
        <v>0</v>
      </c>
    </row>
    <row r="19"/>
    <row r="20" ht="22" customHeight="1">
      <c r="A20" s="1" t="inlineStr">
        <is>
          <t xml:space="preserve">Servicio (RF)</t>
        </is>
      </c>
      <c r="B20" s="1" t="inlineStr">
        <is>
          <t xml:space="preserve">RF</t>
        </is>
      </c>
    </row>
    <row r="21">
      <c r="A21" s="2" t="inlineStr">
        <is>
          <t xml:space="preserve">Servicio de oferta comercial</t>
        </is>
      </c>
      <c r="B21" s="4">
        <f>COUNTIFS('1_Catalogo_Vigente'!$E$2:$E$309,"Servicio de oferta comercial",'1_Catalogo_Vigente'!$B$2:$B$309,"RF")</f>
        <v>20</v>
      </c>
    </row>
    <row r="22">
      <c r="A22" s="2" t="inlineStr">
        <is>
          <t xml:space="preserve">Servicio de abastecimiento</t>
        </is>
      </c>
      <c r="B22" s="4">
        <f>COUNTIFS('1_Catalogo_Vigente'!$E$2:$E$309,"Servicio de abastecimiento",'1_Catalogo_Vigente'!$B$2:$B$309,"RF")</f>
        <v>3</v>
      </c>
    </row>
    <row r="23">
      <c r="A23" s="2" t="inlineStr">
        <is>
          <t xml:space="preserve">Servicio de existencias</t>
        </is>
      </c>
      <c r="B23" s="4">
        <f>COUNTIFS('1_Catalogo_Vigente'!$E$2:$E$309,"Servicio de existencias",'1_Catalogo_Vigente'!$B$2:$B$309,"RF")</f>
        <v>48</v>
      </c>
    </row>
    <row r="24">
      <c r="A24" s="2" t="inlineStr">
        <is>
          <t xml:space="preserve">Servicio de pedidos</t>
        </is>
      </c>
      <c r="B24" s="4">
        <f>COUNTIFS('1_Catalogo_Vigente'!$E$2:$E$309,"Servicio de pedidos",'1_Catalogo_Vigente'!$B$2:$B$309,"RF")</f>
        <v>31</v>
      </c>
    </row>
    <row r="25">
      <c r="A25" s="2" t="inlineStr">
        <is>
          <t xml:space="preserve">Servicio de ventas</t>
        </is>
      </c>
      <c r="B25" s="4">
        <f>COUNTIFS('1_Catalogo_Vigente'!$E$2:$E$309,"Servicio de ventas",'1_Catalogo_Vigente'!$B$2:$B$309,"RF")</f>
        <v>14</v>
      </c>
    </row>
    <row r="26">
      <c r="A26" s="2" t="inlineStr">
        <is>
          <t xml:space="preserve">Servicio de comisiones</t>
        </is>
      </c>
      <c r="B26" s="4">
        <f>COUNTIFS('1_Catalogo_Vigente'!$E$2:$E$309,"Servicio de comisiones",'1_Catalogo_Vigente'!$B$2:$B$309,"RF")</f>
        <v>3</v>
      </c>
    </row>
    <row r="27">
      <c r="A27" s="2" t="inlineStr">
        <is>
          <t xml:space="preserve">Servicio de marketplace</t>
        </is>
      </c>
      <c r="B27" s="4">
        <f>COUNTIFS('1_Catalogo_Vigente'!$E$2:$E$309,"Servicio de marketplace",'1_Catalogo_Vigente'!$B$2:$B$309,"RF")</f>
        <v>25</v>
      </c>
    </row>
    <row r="28">
      <c r="A28" s="2" t="inlineStr">
        <is>
          <t xml:space="preserve">Servicio de posventa</t>
        </is>
      </c>
      <c r="B28" s="4">
        <f>COUNTIFS('1_Catalogo_Vigente'!$E$2:$E$309,"Servicio de posventa",'1_Catalogo_Vigente'!$B$2:$B$309,"RF")</f>
        <v>12</v>
      </c>
    </row>
    <row r="29">
      <c r="A29" s="2" t="inlineStr">
        <is>
          <t xml:space="preserve">Servicio de clientes Retail</t>
        </is>
      </c>
      <c r="B29" s="4">
        <f>COUNTIFS('1_Catalogo_Vigente'!$E$2:$E$309,"Servicio de clientes Retail",'1_Catalogo_Vigente'!$B$2:$B$309,"RF")</f>
        <v>5</v>
      </c>
    </row>
    <row r="30">
      <c r="A30" s="2" t="inlineStr">
        <is>
          <t xml:space="preserve">Servicio de originación de crédito</t>
        </is>
      </c>
      <c r="B30" s="4">
        <f>COUNTIFS('1_Catalogo_Vigente'!$E$2:$E$309,"Servicio de originación de crédito",'1_Catalogo_Vigente'!$B$2:$B$309,"RF")</f>
        <v>14</v>
      </c>
    </row>
    <row r="31">
      <c r="A31" s="2" t="inlineStr">
        <is>
          <t xml:space="preserve">Servicio de cartera de crédito</t>
        </is>
      </c>
      <c r="B31" s="4">
        <f>COUNTIFS('1_Catalogo_Vigente'!$E$2:$E$309,"Servicio de cartera de crédito",'1_Catalogo_Vigente'!$B$2:$B$309,"RF")</f>
        <v>6</v>
      </c>
    </row>
    <row r="32">
      <c r="A32" s="2" t="inlineStr">
        <is>
          <t xml:space="preserve">Servicio de evidencia financiera</t>
        </is>
      </c>
      <c r="B32" s="4">
        <f>COUNTIFS('1_Catalogo_Vigente'!$E$2:$E$309,"Servicio de evidencia financiera",'1_Catalogo_Vigente'!$B$2:$B$309,"RF")</f>
        <v>15</v>
      </c>
    </row>
    <row r="33">
      <c r="A33" s="2" t="inlineStr">
        <is>
          <t xml:space="preserve">Servicio de control de cruces</t>
        </is>
      </c>
      <c r="B33" s="4">
        <f>COUNTIFS('1_Catalogo_Vigente'!$E$2:$E$309,"Servicio de control de cruces",'1_Catalogo_Vigente'!$B$2:$B$309,"RF")</f>
        <v>12</v>
      </c>
    </row>
    <row r="34">
      <c r="A34" s="2" t="inlineStr">
        <is>
          <t xml:space="preserve">Base tecnológica</t>
        </is>
      </c>
      <c r="B34" s="4">
        <f>COUNTIFS('1_Catalogo_Vigente'!$E$2:$E$309,"Base tecnológica",'1_Catalogo_Vigente'!$B$2:$B$309,"RF")</f>
        <v>19</v>
      </c>
    </row>
    <row r="35"/>
    <row r="36" ht="22" customHeight="1">
      <c r="A36" s="1" t="inlineStr">
        <is>
          <t xml:space="preserve">Ámbito (RNF)</t>
        </is>
      </c>
      <c r="B36" s="1" t="inlineStr">
        <is>
          <t xml:space="preserve">RNF</t>
        </is>
      </c>
    </row>
    <row r="37">
      <c r="A37" s="2" t="inlineStr">
        <is>
          <t xml:space="preserve">Retail</t>
        </is>
      </c>
      <c r="B37" s="4">
        <f>COUNTIFS('1_Catalogo_Vigente'!$I$2:$I$309,"Retail",'1_Catalogo_Vigente'!$B$2:$B$309,"RNF")</f>
        <v>36</v>
      </c>
    </row>
    <row r="38">
      <c r="A38" s="2" t="inlineStr">
        <is>
          <t xml:space="preserve">Filial emisora</t>
        </is>
      </c>
      <c r="B38" s="4">
        <f>COUNTIFS('1_Catalogo_Vigente'!$I$2:$I$309,"Filial emisora",'1_Catalogo_Vigente'!$B$2:$B$309,"RNF")</f>
        <v>16</v>
      </c>
    </row>
    <row r="39">
      <c r="A39" s="2" t="inlineStr">
        <is>
          <t xml:space="preserve">Ambos</t>
        </is>
      </c>
      <c r="B39" s="4">
        <f>COUNTIFS('1_Catalogo_Vigente'!$I$2:$I$309,"Ambos",'1_Catalogo_Vigente'!$B$2:$B$309,"RNF")</f>
        <v>20</v>
      </c>
    </row>
  </sheetData>
  <pageMargins left="0.5" right="0.5" top="0.6" bottom="0.6" header="0.3" footer="0.3"/>
  <pageSetup orientation="landscape" fitToWidth="1" fitToHeight="0"/>
</worksheet>
</file>

<file path=xl/worksheets/sheet6.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4.5"/>
  <cols>
    <col min="1" max="1" width="10" customWidth="1"/>
    <col min="2" max="2" width="80" customWidth="1"/>
    <col min="3" max="3" width="10" customWidth="1"/>
    <col min="4" max="4" width="44" customWidth="1"/>
    <col min="5" max="5" width="60" customWidth="1"/>
  </cols>
  <sheetData>
    <row r="1" ht="24" customHeight="1">
      <c r="A1" s="1" t="inlineStr">
        <is>
          <t xml:space="preserve">ID</t>
        </is>
      </c>
      <c r="B1" s="1" t="inlineStr">
        <is>
          <t xml:space="preserve">Regla</t>
        </is>
      </c>
      <c r="C1" s="1" t="inlineStr">
        <is>
          <t xml:space="preserve">Prioridad</t>
        </is>
      </c>
      <c r="D1" s="1" t="inlineStr">
        <is>
          <t xml:space="preserve">Origen</t>
        </is>
      </c>
      <c r="E1" s="1" t="inlineStr">
        <is>
          <t xml:space="preserve">Criterio de aceptación</t>
        </is>
      </c>
    </row>
    <row r="2">
      <c r="A2" s="2" t="inlineStr">
        <is>
          <t xml:space="preserve">RN-01</t>
        </is>
      </c>
      <c r="B2" s="2" t="inlineStr">
        <is>
          <t xml:space="preserve">La compañía debe mantener los datos del retail y los de la filial emisora en dominios separados, lógica y físicamente, en todo momento.</t>
        </is>
      </c>
      <c r="C2" s="4" t="inlineStr">
        <is>
          <t xml:space="preserve">M</t>
        </is>
      </c>
      <c r="D2" s="2" t="inlineStr">
        <is>
          <t xml:space="preserve">Cap. 10, restricción N°1; Cap. 6, fila "Separación del negocio financiero"</t>
        </is>
      </c>
      <c r="E2" s="2" t="inlineStr">
        <is>
          <t xml:space="preserve">Documento de frontera aprobado por la contraloría + prueba de penetración que acredite que un componente del retail no alcanza datos de crédito.</t>
        </is>
      </c>
    </row>
    <row r="3">
      <c r="A3" s="2" t="inlineStr">
        <is>
          <t xml:space="preserve">RN-02</t>
        </is>
      </c>
      <c r="B3" s="2" t="inlineStr">
        <is>
          <t xml:space="preserve">Un dato no puede cruzar entre el ámbito retail y el ámbito fiscalizado si no existe una interfaz declarada, con finalidad, base de licitud, autorización nominada y registro de auditoría.</t>
        </is>
      </c>
      <c r="C3" s="4" t="inlineStr">
        <is>
          <t xml:space="preserve">M</t>
        </is>
      </c>
      <c r="D3" s="2" t="inlineStr">
        <is>
          <t xml:space="preserve">Cap. 16.1, decisión N°4; Cap. 12, Ley 21.719</t>
        </is>
      </c>
      <c r="E3" s="2" t="inlineStr">
        <is>
          <t xml:space="preserve">Inventario de flujos autorizados; todo intento no declarado queda bloqueado y registrado. Auditoría (ventana por definir con el cliente al inicio del proyecto) sobre 100 % de los cruces.</t>
        </is>
      </c>
    </row>
    <row r="4">
      <c r="A4" s="2" t="inlineStr">
        <is>
          <t xml:space="preserve">RN-03</t>
        </is>
      </c>
      <c r="B4" s="2" t="inlineStr">
        <is>
          <t xml:space="preserve">El área comercial del retail no puede utilizar el comportamiento de pago del cliente (mora, deuda, cupo utilizado) para perfilamiento, segmentación ni campaña.</t>
        </is>
      </c>
      <c r="C4" s="4" t="inlineStr">
        <is>
          <t xml:space="preserve">M</t>
        </is>
      </c>
      <c r="D4" s="2" t="inlineStr">
        <is>
          <t xml:space="preserve">Cap. 12, principio de finalidad, Ley 20.575</t>
        </is>
      </c>
      <c r="E4" s="2" t="inlineStr">
        <is>
          <t xml:space="preserve">Revisión de los atributos disponibles en el motor de campañas: cero atributos de origen financiero.</t>
        </is>
      </c>
    </row>
    <row r="5">
      <c r="A5" s="2" t="inlineStr">
        <is>
          <t xml:space="preserve">RN-04</t>
        </is>
      </c>
      <c r="B5" s="2" t="inlineStr">
        <is>
          <t xml:space="preserve">La compañía debe identificar a la misma persona con identificadores distintos en cada ámbito, relacionados por una tabla de correspondencia custodiada y no por clave común replicada.</t>
        </is>
      </c>
      <c r="C5" s="4" t="inlineStr">
        <is>
          <t xml:space="preserve">M</t>
        </is>
      </c>
      <c r="D5" s="2" t="inlineStr">
        <is>
          <t xml:space="preserve">Cap. 16.1, decisión N°3</t>
        </is>
      </c>
      <c r="E5" s="2" t="inlineStr">
        <is>
          <t xml:space="preserve">La clave del ámbito financiero no aparece como columna en ninguna tabla del retail.</t>
        </is>
      </c>
    </row>
    <row r="6">
      <c r="A6" s="2" t="inlineStr">
        <is>
          <t xml:space="preserve">RN-05</t>
        </is>
      </c>
      <c r="B6" s="2" t="inlineStr">
        <is>
          <t xml:space="preserve">Ninguna facilidad comercial puede utilizar datos del ámbito fiscalizado para fines del retail, ni datos del retail para fines crediticios, sin pasar por el control de cruce de RN-02.</t>
        </is>
      </c>
      <c r="C6" s="4" t="inlineStr">
        <is>
          <t xml:space="preserve">M</t>
        </is>
      </c>
      <c r="D6" s="2" t="inlineStr">
        <is>
          <t xml:space="preserve">Cap. 10, restricción N°1; Cap. 6, cierre; Cap. 18, advertencia del directorio</t>
        </is>
      </c>
      <c r="E6" s="2" t="inlineStr">
        <is>
          <t xml:space="preserve">Revisión funcional de toda iniciativa de marketing o CRM: cero variables de origen financiero en el motor de campañas sin registro de cruce autorizado.</t>
        </is>
      </c>
    </row>
    <row r="7">
      <c r="A7" s="2" t="inlineStr">
        <is>
          <t xml:space="preserve">RN-06</t>
        </is>
      </c>
      <c r="B7" s="2" t="inlineStr">
        <is>
          <t xml:space="preserve">El comité de arquitectura no puede aprobar ninguna solución, por su rentabilidad esperada, que reduzca el nivel de separación técnica ya implementado entre los dos ámbitos.</t>
        </is>
      </c>
      <c r="C7" s="4" t="inlineStr">
        <is>
          <t xml:space="preserve">M</t>
        </is>
      </c>
      <c r="D7" s="2" t="inlineStr">
        <is>
          <t xml:space="preserve">Cap. 10, restricción N°1; Cap. 18, advertencia final del directorio (cita textual de la contralora)</t>
        </is>
      </c>
      <c r="E7" s="2" t="inlineStr">
        <is>
          <t xml:space="preserve">Acta de comité con evaluación explícita del impacto en la frontera de datos, previa a la aprobación de cualquier iniciativa comercial.</t>
        </is>
      </c>
    </row>
    <row r="8">
      <c r="A8" s="2" t="inlineStr">
        <is>
          <t xml:space="preserve">RN-08</t>
        </is>
      </c>
      <c r="B8" s="2" t="inlineStr">
        <is>
          <t xml:space="preserve">La compañía no debe comprometer existencia frente al cliente utilizando el registro bruto de inventario.</t>
        </is>
      </c>
      <c r="C8" s="4" t="inlineStr">
        <is>
          <t xml:space="preserve">M</t>
        </is>
      </c>
      <c r="D8" s="2" t="inlineStr">
        <is>
          <t xml:space="preserve">Cap. 4, sección 4.4; Cap. 7, sección 7.1</t>
        </is>
      </c>
      <c r="E8" s="2" t="inlineStr">
        <is>
          <t xml:space="preserve">Ningún canal consume el saldo bruto: toda publicación pasa por el cálculo de disponible.</t>
        </is>
      </c>
    </row>
    <row r="9">
      <c r="A9" s="2" t="inlineStr">
        <is>
          <t xml:space="preserve">RN-09</t>
        </is>
      </c>
      <c r="B9" s="2" t="inlineStr">
        <is>
          <t xml:space="preserve">El canal de venta debe calcular la existencia disponible para vender restando de la existencia registrada las reservas vigentes, el comprometido no despachado y un colchón de confianza que se adapta según la categoría y el punto de existencia.</t>
        </is>
      </c>
      <c r="C9" s="4" t="inlineStr">
        <is>
          <t xml:space="preserve">M</t>
        </is>
      </c>
      <c r="D9" s="2" t="inlineStr">
        <is>
          <t xml:space="preserve">Cap. 16.1, decisión N°1; Cap. 9, sección 9.1; Cap. 7, sección 7.1 (descuento fijo de 2019)</t>
        </is>
      </c>
      <c r="E9" s="2" t="inlineStr">
        <is>
          <t xml:space="preserve">Fórmula parametrizada y auditable; el colchón toma al menos dos valores distintos entre categorías o entre puntos de existencia; cancelaciones por falta de existencia &lt; 0,3 % anual.(meta del capitulo 7)</t>
        </is>
      </c>
    </row>
    <row r="10">
      <c r="A10" s="2" t="inlineStr">
        <is>
          <t xml:space="preserve">RN-10</t>
        </is>
      </c>
      <c r="B10" s="2" t="inlineStr">
        <is>
          <t xml:space="preserve">El sistema debe reservar la unidad al agregarse al carro, y la reserva debe expirar automáticamente devolviendo la unidad al disponible al cumplirse su vigencia.</t>
        </is>
      </c>
      <c r="C10" s="4" t="inlineStr">
        <is>
          <t xml:space="preserve">M</t>
        </is>
      </c>
      <c r="D10" s="2" t="inlineStr">
        <is>
          <t xml:space="preserve">Cap. 16.1, decisión N°12</t>
        </is>
      </c>
      <c r="E10" s="2" t="inlineStr">
        <is>
          <t xml:space="preserve">Prueba de expiración con reloj controlado; en evento anual la vigencia se acorta según parámetro declarado.</t>
        </is>
      </c>
    </row>
    <row r="11">
      <c r="A11" s="2" t="inlineStr">
        <is>
          <t xml:space="preserve">RN-11</t>
        </is>
      </c>
      <c r="B11" s="2" t="inlineStr">
        <is>
          <t xml:space="preserve">El canal de venta puede permitir la publicación de una categoría bajo el umbral de exactitud definido, siempre que informe al cliente o al vendedor el porcentaje de error probable, calculado según la categoría y el punto de existencia.</t>
        </is>
      </c>
      <c r="C11" s="4" t="inlineStr">
        <is>
          <t xml:space="preserve">M</t>
        </is>
      </c>
      <c r="D11" s="2" t="inlineStr">
        <is>
          <t xml:space="preserve">Cap. 9, subsección 9.1; Cap. 9, subsección 9.11; Cap. 15, RT-16.21; Cap. 16.1, decisión N°23</t>
        </is>
      </c>
      <c r="E11" s="2" t="inlineStr">
        <is>
          <t xml:space="preserve">Prueba con categoría bajo umbral: el sistema publica mostrando el % de error calculado, dispara alerta interna, y el rol facultado puede suspender manualmente en ≤ tiempo objetivo. Verificar que no exista bloqueo automático no solicitado.</t>
        </is>
      </c>
    </row>
    <row r="12">
      <c r="A12" s="2" t="inlineStr">
        <is>
          <t xml:space="preserve">RN-12</t>
        </is>
      </c>
      <c r="B12" s="2" t="inlineStr">
        <is>
          <t xml:space="preserve">La compañía debe clasificar la merma en sus componentes y no debe registrarla como un concepto único.</t>
        </is>
      </c>
      <c r="C12" s="4" t="inlineStr">
        <is>
          <t xml:space="preserve">S</t>
        </is>
      </c>
      <c r="D12" s="2" t="inlineStr">
        <is>
          <t xml:space="preserve">Cap. 16.1, decisión N°17; Cap. 9, §9.2; Cap. 18, criterio 27</t>
        </is>
      </c>
      <c r="E12" s="2" t="inlineStr">
        <is>
          <t xml:space="preserve">Informe mensual de merma con los cinco componentes cuantificados y suma igual al total; hoy el valor es "se desconoce" (Cap. 7, sección 7.1).</t>
        </is>
      </c>
    </row>
    <row r="13">
      <c r="A13" s="2" t="inlineStr">
        <is>
          <t xml:space="preserve">RN-13</t>
        </is>
      </c>
      <c r="B13" s="2" t="inlineStr">
        <is>
          <t xml:space="preserve">La compañía debe contar cada categoría con una frecuencia y un método definidos, sin cerrar la tienda, y debe establecer un criterio que gatille un recuento extraordinario.</t>
        </is>
      </c>
      <c r="C13" s="4" t="inlineStr">
        <is>
          <t xml:space="preserve">S</t>
        </is>
      </c>
      <c r="D13" s="2" t="inlineStr">
        <is>
          <t xml:space="preserve">Cap. 9, sección 9.2; Cap. 16.1, decisión N°18</t>
        </is>
      </c>
      <c r="E13" s="2" t="inlineStr">
        <is>
          <t xml:space="preserve">El plan de conteo declara frecuencia, método y criterio de gatillo por categoría; ejecución sin cierre de sala; reducción medible del 12,4 % de diferencia (Cap. 7, sección 7.1).</t>
        </is>
      </c>
    </row>
    <row r="14">
      <c r="A14" s="2" t="inlineStr">
        <is>
          <t xml:space="preserve">RN-14</t>
        </is>
      </c>
      <c r="B14" s="2" t="inlineStr">
        <is>
          <t xml:space="preserve">Un producto devuelto no puede reingresar al inventario disponible sin inspección previa y decisión de aptitud registrada con responsable identificado.</t>
        </is>
      </c>
      <c r="C14" s="4" t="inlineStr">
        <is>
          <t xml:space="preserve">S</t>
        </is>
      </c>
      <c r="D14" s="2" t="inlineStr">
        <is>
          <t xml:space="preserve">Cap. 4, sección 4.9; Cap. 7, sección 7.1</t>
        </is>
      </c>
      <c r="E14" s="2" t="inlineStr">
        <is>
          <t xml:space="preserve">Trazabilidad de 100 % de los reingresos con usuario, instante y decisión; reducción medible de la diferencia atribuida a reingreso.</t>
        </is>
      </c>
    </row>
    <row r="15">
      <c r="A15" s="2" t="inlineStr">
        <is>
          <t xml:space="preserve">RN-15</t>
        </is>
      </c>
      <c r="B15" s="2" t="inlineStr">
        <is>
          <t xml:space="preserve">El centro de distribución de Concepción no puede ser origen de una promesa de entrega en canal digital mientras opere con planillas.</t>
        </is>
      </c>
      <c r="C15" s="4" t="inlineStr">
        <is>
          <t xml:space="preserve">M</t>
        </is>
      </c>
      <c r="D15" s="2" t="inlineStr">
        <is>
          <t xml:space="preserve">Cap. 10, restricción N°14; Cap. 16.1, decisión N°20.</t>
        </is>
      </c>
      <c r="E15" s="2" t="inlineStr">
        <is>
          <t xml:space="preserve">Regla de asignación excluye Concepción como origen digital hasta acreditar sistema de gestión de almacenes.</t>
        </is>
      </c>
    </row>
    <row r="16">
      <c r="A16" s="2" t="inlineStr">
        <is>
          <t xml:space="preserve">RN-16</t>
        </is>
      </c>
      <c r="B16" s="2" t="inlineStr">
        <is>
          <t xml:space="preserve">La compañía debe cobrar el precio exhibido; ante discrepancia detectada en caja debe prevalecer el menor para el consumidor y registrarse el incidente.</t>
        </is>
      </c>
      <c r="C16" s="4" t="inlineStr">
        <is>
          <t xml:space="preserve">M</t>
        </is>
      </c>
      <c r="D16" s="2" t="inlineStr">
        <is>
          <t xml:space="preserve">Cap. 10, restricción N°4; Cap. 12, Ley 19.496 art. 18 ⚠</t>
        </is>
      </c>
      <c r="E16" s="2" t="inlineStr">
        <is>
          <t xml:space="preserve">Prueba con precio divergente: la caja cobra el menor y genera un registro de incidente consultable.</t>
        </is>
      </c>
    </row>
    <row r="17">
      <c r="A17" s="2" t="inlineStr">
        <is>
          <t xml:space="preserve">RN-17</t>
        </is>
      </c>
      <c r="B17" s="2" t="inlineStr">
        <is>
          <t xml:space="preserve">La compañía debe poder acreditar qué precio estaba publicado en cada canal en un instante determinado.</t>
        </is>
      </c>
      <c r="C17" s="4" t="inlineStr">
        <is>
          <t xml:space="preserve">M</t>
        </is>
      </c>
      <c r="D17" s="2" t="inlineStr">
        <is>
          <t xml:space="preserve">Cap. 10, restricción N°4; Cap. 16.1, decisión N°10; Cap. 15, RT-05.10 (3 años de trazabilidad de precio)</t>
        </is>
      </c>
      <c r="E17" s="2" t="inlineStr">
        <is>
          <t xml:space="preserve">Consulta de auditoría: recuperar el precio de una referencia en una fecha/hora/canal arbitraria dentro de 3 años, en ≤ 1 minuto.</t>
        </is>
      </c>
    </row>
    <row r="18">
      <c r="A18" s="2" t="inlineStr">
        <is>
          <t xml:space="preserve">RN-18</t>
        </is>
      </c>
      <c r="B18" s="2" t="inlineStr">
        <is>
          <t xml:space="preserve">Un artículo no puede venderse a un precio nuevo mientras su punto de exhibición no esté actualizado o el artículo bloqueado para venta.</t>
        </is>
      </c>
      <c r="C18" s="4" t="inlineStr">
        <is>
          <t xml:space="preserve">S</t>
        </is>
      </c>
      <c r="D18" s="2" t="inlineStr">
        <is>
          <t xml:space="preserve">Cap. 16.1, decisiones N°8 y 9; Cap. 4, sección 4.2; Cap. 7, sección 7.2 (latencia de hasta 24 h)</t>
        </is>
      </c>
      <c r="E18" s="2" t="inlineStr">
        <is>
          <t xml:space="preserve">Indicador diario de puntos de exhibición desactualizados, con identificación individual (exigido en Cap. 9, sección 9.3).</t>
        </is>
      </c>
    </row>
    <row r="19">
      <c r="A19" s="2" t="inlineStr">
        <is>
          <t xml:space="preserve">RN-19</t>
        </is>
      </c>
      <c r="B19" s="2" t="inlineStr">
        <is>
          <t xml:space="preserve">La compañía debe agrupar los cambios de precio en sala en ventanas definidas fuera del horario de atención, salvo en puntos con etiqueta electrónica.</t>
        </is>
      </c>
      <c r="C19" s="4" t="inlineStr">
        <is>
          <t xml:space="preserve">C</t>
        </is>
      </c>
      <c r="D19" s="2" t="inlineStr">
        <is>
          <t xml:space="preserve">Cap. 16.1, decisión N°9; Cap. 4, seccion 4.2</t>
        </is>
      </c>
      <c r="E19" s="2" t="inlineStr">
        <is>
          <t xml:space="preserve">Registro de qué etiqueta cambió, cuándo y quién  hoy inexistente (Cap. 7, sección 7.2).</t>
        </is>
      </c>
    </row>
    <row r="20">
      <c r="A20" s="2" t="inlineStr">
        <is>
          <t xml:space="preserve">RN-20</t>
        </is>
      </c>
      <c r="B20" s="2" t="inlineStr">
        <is>
          <t xml:space="preserve">La caja debe aplicar exclusivamente promociones vigentes al instante de emisión del documento, evaluadas por canal y por tienda.</t>
        </is>
      </c>
      <c r="C20" s="4" t="inlineStr">
        <is>
          <t xml:space="preserve">S</t>
        </is>
      </c>
      <c r="D20" s="2" t="inlineStr">
        <is>
          <t xml:space="preserve">Cap. 4, sección 4.5; Cap. 15, RT-03.10 (promociones vigentes también sin enlace)</t>
        </is>
      </c>
      <c r="E20" s="2" t="inlineStr">
        <is>
          <t xml:space="preserve">Prueba de borde: promoción que vence durante la transacción; se aplica la vigente al instante de emisión.</t>
        </is>
      </c>
    </row>
    <row r="21">
      <c r="A21" s="2" t="inlineStr">
        <is>
          <t xml:space="preserve">RN-21</t>
        </is>
      </c>
      <c r="B21" s="2" t="inlineStr">
        <is>
          <t xml:space="preserve">La compañía no debe cobrar de forma definitiva un pedido antes de confirmar físicamente la existencia de la unidad; debe preautorizar al aceptar y capturar al confirmar la preparación.</t>
        </is>
      </c>
      <c r="C21" s="4" t="inlineStr">
        <is>
          <t xml:space="preserve">M</t>
        </is>
      </c>
      <c r="D21" s="2" t="inlineStr">
        <is>
          <t xml:space="preserve">Cap. 16.1, decisión N°11; Cap. 18, criterio 26; Cap. 12, contratación a distancia ⚠</t>
        </is>
      </c>
      <c r="E21" s="2" t="inlineStr">
        <is>
          <t xml:space="preserve">Ningún cargo capturado sin evento de confirmación física asociado; conciliación diaria de preautorizaciones vencidas.</t>
        </is>
      </c>
    </row>
    <row r="22">
      <c r="A22" s="2" t="inlineStr">
        <is>
          <t xml:space="preserve">RN-22</t>
        </is>
      </c>
      <c r="B22" s="2" t="inlineStr">
        <is>
          <t xml:space="preserve">El sistema debe decidir el punto de despacho por costo total de servir costo logístico, costo de oportunidad de sala y plazo comprometido y no debe decidirlo únicamente por distancia.</t>
        </is>
      </c>
      <c r="C22" s="4" t="inlineStr">
        <is>
          <t xml:space="preserve">S</t>
        </is>
      </c>
      <c r="D22" s="2" t="inlineStr">
        <is>
          <t xml:space="preserve">Cap. 16.1, decisión N°13; Cap. 7, sección 7.2 (17 % despachado desde tienda)</t>
        </is>
      </c>
      <c r="E22" s="2" t="inlineStr">
        <is>
          <t xml:space="preserve">Simulación comparada contra la regla actual: reducción del porcentaje de pedidos que vacían sala, a igual o menor costo.</t>
        </is>
      </c>
    </row>
    <row r="23">
      <c r="A23" s="2" t="inlineStr">
        <is>
          <t xml:space="preserve">RN-23</t>
        </is>
      </c>
      <c r="B23" s="2" t="inlineStr">
        <is>
          <t xml:space="preserve">Ante quiebre en el punto asignado, la compañía debe reasignar una sola vez dentro de una ventana definida y, agotada esta, debe informar al cliente antes de cualquier cobro definitivo, ofreciendo equivalente, espera compensada o liberación.</t>
        </is>
      </c>
      <c r="C23" s="4" t="inlineStr">
        <is>
          <t xml:space="preserve">M</t>
        </is>
      </c>
      <c r="D23" s="2" t="inlineStr">
        <is>
          <t xml:space="preserve">Cap. 16.1, decisión N°11; Cap. 18, criterio 26; Cap. 8, entrevista de Paula Antileo</t>
        </is>
      </c>
      <c r="E23" s="2" t="inlineStr">
        <is>
          <t xml:space="preserve">Tiempo entre detección del quiebre y aviso al cliente ≤ objetivo declarado; cero casos de cobro sostenido sobre pedido no cumplible.</t>
        </is>
      </c>
    </row>
    <row r="24">
      <c r="A24" s="2" t="inlineStr">
        <is>
          <t xml:space="preserve">RN-24</t>
        </is>
      </c>
      <c r="B24" s="2" t="inlineStr">
        <is>
          <t xml:space="preserve">La compañía debe calcular la fecha prometida en función del punto de despacho, la capacidad de preparación y el transportista, y no debe publicar un plazo fijo de catálogo.</t>
        </is>
      </c>
      <c r="C24" s="4" t="inlineStr">
        <is>
          <t xml:space="preserve">S</t>
        </is>
      </c>
      <c r="D24" s="2" t="inlineStr">
        <is>
          <t xml:space="preserve">Cap. 4, sección 4.6; Cap. 7, sección 7.1 (81 % de cumplimiento, meta 97 %)</t>
        </is>
      </c>
      <c r="E24" s="2" t="inlineStr">
        <is>
          <t xml:space="preserve">Cumplimiento de la promesa publicada ≥ 97 %, medido por pedido y no por promedio de canal.</t>
        </is>
      </c>
    </row>
    <row r="25">
      <c r="A25" s="2" t="inlineStr">
        <is>
          <t xml:space="preserve">RN-25</t>
        </is>
      </c>
      <c r="B25" s="2" t="inlineStr">
        <is>
          <t xml:space="preserve">Un pedido intermediado no puede comprometer existencia propia, ni una unidad propia puede cumplir un pedido de marketplace.</t>
        </is>
      </c>
      <c r="C25" s="4" t="inlineStr">
        <is>
          <t xml:space="preserve">M</t>
        </is>
      </c>
      <c r="D25" s="2" t="inlineStr">
        <is>
          <t xml:space="preserve">Cap. 4, sección 4.8; Cap. 11, exclusión de la plataforma de marketplace</t>
        </is>
      </c>
      <c r="E25" s="2" t="inlineStr">
        <is>
          <t xml:space="preserve">Prueba de aislamiento de inventarios; cero movimientos cruzados en el registro de un ciclo completo.</t>
        </is>
      </c>
    </row>
    <row r="26">
      <c r="A26" s="2" t="inlineStr">
        <is>
          <t xml:space="preserve">RN-26</t>
        </is>
      </c>
      <c r="B26" s="2" t="inlineStr">
        <is>
          <t xml:space="preserve">La compañía debe atender la garantía legal en su propio mesón y no puede derivar al consumidor al fabricante, al servicio técnico ni al vendedor de marketplace como condición para ser atendido.</t>
        </is>
      </c>
      <c r="C26" s="4" t="inlineStr">
        <is>
          <t xml:space="preserve">M</t>
        </is>
      </c>
      <c r="D26" s="2" t="inlineStr">
        <is>
          <t xml:space="preserve">Cap. 10, restricción N°7; Cap. 9, sección 9.7; Cap. 12, Ley 19.496 art. 21 (reforma Ley 21.398) ⚠</t>
        </is>
      </c>
      <c r="E26" s="2" t="inlineStr">
        <is>
          <t xml:space="preserve">Cliente oculto en las 22 tiendas: cero derivaciones como condición de atención.</t>
        </is>
      </c>
    </row>
    <row r="27">
      <c r="A27" s="2" t="inlineStr">
        <is>
          <t xml:space="preserve">RN-27</t>
        </is>
      </c>
      <c r="B27" s="2" t="inlineStr">
        <is>
          <t xml:space="preserve">La compañía debe resolver primero frente al consumidor y puede recuperar después contra el tercero responsable; la recuperación interna no puede ser precondición de la solución al cliente.</t>
        </is>
      </c>
      <c r="C27" s="4" t="inlineStr">
        <is>
          <t xml:space="preserve">M</t>
        </is>
      </c>
      <c r="D27" s="2" t="inlineStr">
        <is>
          <t xml:space="preserve">Cap. 9, sección 9.7; Cap. 16.1, decisión N°21</t>
        </is>
      </c>
      <c r="E27" s="2" t="inlineStr">
        <is>
          <t xml:space="preserve">Expediente por caso con dos hitos separados: resolución al cliente y recuperación interna, con fechas independientes.</t>
        </is>
      </c>
    </row>
    <row r="28">
      <c r="A28" s="2" t="inlineStr">
        <is>
          <t xml:space="preserve">RN-28</t>
        </is>
      </c>
      <c r="B28" s="2" t="inlineStr">
        <is>
          <t xml:space="preserve">La compañía debe notificar al vendedor de marketplace la recepción de una devolución en tienda en el momento en que ocurre, y no debe informarla recién en la liquidación.</t>
        </is>
      </c>
      <c r="C28" s="4" t="inlineStr">
        <is>
          <t xml:space="preserve">S</t>
        </is>
      </c>
      <c r="D28" s="2" t="inlineStr">
        <is>
          <t xml:space="preserve">Cap. 16.1, decisión N°15; Cap. 8, entrevista de Solange Bittner; Cap. 9, §9.6</t>
        </is>
      </c>
      <c r="E28" s="2" t="inlineStr">
        <is>
          <t xml:space="preserve">Latencia entre recepción física y notificación al vendedor ≤ objetivo declarado; cero mercadería en bodega sin aviso a su dueño.</t>
        </is>
      </c>
    </row>
    <row r="29">
      <c r="A29" s="2" t="inlineStr">
        <is>
          <t xml:space="preserve">RN-29</t>
        </is>
      </c>
      <c r="B29" s="2" t="inlineStr">
        <is>
          <t xml:space="preserve">La compañía debe ofrecer al consumidor la elección entre reparación, reposición o devolución del precio dentro del plazo de garantía legal ⚠ (verificar duración vigente).</t>
        </is>
      </c>
      <c r="C29" s="4" t="inlineStr">
        <is>
          <t xml:space="preserve">M</t>
        </is>
      </c>
      <c r="D29" s="2" t="inlineStr">
        <is>
          <t xml:space="preserve">Cap. 12, garantía legal ⚠</t>
        </is>
      </c>
      <c r="E29" s="2" t="inlineStr">
        <is>
          <t xml:space="preserve">Registro por caso de la opción ofrecida y la elegida por el consumidor.</t>
        </is>
      </c>
    </row>
    <row r="30">
      <c r="A30" s="2" t="inlineStr">
        <is>
          <t xml:space="preserve">RN-30</t>
        </is>
      </c>
      <c r="B30" s="2" t="inlineStr">
        <is>
          <t xml:space="preserve">La compañía debe medir a cada vendedor externo con reglas publicadas y conocidas por él antes de su aplicación.</t>
        </is>
      </c>
      <c r="C30" s="4" t="inlineStr">
        <is>
          <t xml:space="preserve">S</t>
        </is>
      </c>
      <c r="D30" s="2" t="inlineStr">
        <is>
          <t xml:space="preserve">Cap. 9, sección 9.6; Cap. 16.1, decisión N°16; Cap. 7, sección 7.2 (acuerdo inexistente)</t>
        </is>
      </c>
      <c r="E30" s="2" t="inlineStr">
        <is>
          <t xml:space="preserve">Los 310 vendedores acceden a su evaluación en el portal; acuse de conocimiento de las reglas registrado.</t>
        </is>
      </c>
    </row>
    <row r="31">
      <c r="A31" s="2" t="inlineStr">
        <is>
          <t xml:space="preserve">RN-31</t>
        </is>
      </c>
      <c r="B31" s="2" t="inlineStr">
        <is>
          <t xml:space="preserve">La compañía debe aplicar consecuencias escalonadas y predefinidas ante mala evaluación (advertencia, restricción de publicación, suspensión), ejecutadas por un rol nominado.</t>
        </is>
      </c>
      <c r="C31" s="4" t="inlineStr">
        <is>
          <t xml:space="preserve">C</t>
        </is>
      </c>
      <c r="D31" s="2" t="inlineStr">
        <is>
          <t xml:space="preserve">Cap. 16.1, decisión N°16</t>
        </is>
      </c>
      <c r="E31" s="2" t="inlineStr">
        <is>
          <t xml:space="preserve">Matriz de escalamiento con rol responsable; trazabilidad de cada sanción aplicada.</t>
        </is>
      </c>
    </row>
    <row r="32">
      <c r="A32" s="2" t="inlineStr">
        <is>
          <t xml:space="preserve">RN-32</t>
        </is>
      </c>
      <c r="B32" s="2" t="inlineStr">
        <is>
          <t xml:space="preserve">La oferta de un vendedor externo debe despublicarse automáticamente cuando su stock declarado supere el plazo de vigencia sin actualización</t>
        </is>
      </c>
      <c r="C32" s="4" t="inlineStr">
        <is>
          <t xml:space="preserve">S</t>
        </is>
      </c>
      <c r="D32" s="2" t="inlineStr">
        <is>
          <t xml:space="preserve">Cap. 8, entrevista de Solange Bittner; Cap. 4, sección 4.8</t>
        </is>
      </c>
      <c r="E32" s="2" t="inlineStr">
        <is>
          <t xml:space="preserve">Prueba de caducidad con reloj controlado; cero ofertas publicadas con declaración vencida.</t>
        </is>
      </c>
    </row>
    <row r="33">
      <c r="A33" s="2" t="inlineStr">
        <is>
          <t xml:space="preserve">RN-33</t>
        </is>
      </c>
      <c r="B33" s="2" t="inlineStr">
        <is>
          <t xml:space="preserve">La comisión del marketplace debe devengarse sobre venta efectivamente cumplida y debe revertirse ante devolución o cancelación en el período en que ocurre.</t>
        </is>
      </c>
      <c r="C33" s="4" t="inlineStr">
        <is>
          <t xml:space="preserve">S</t>
        </is>
      </c>
      <c r="D33" s="2" t="inlineStr">
        <is>
          <t xml:space="preserve">Cap. 4, sección 4.8; Cap. 8, entrevista de Solange Bittner</t>
        </is>
      </c>
      <c r="E33" s="2" t="inlineStr">
        <is>
          <t xml:space="preserve">Conciliación entre liquidación del vendedor de marketplace y sus estados de pedido: diferencia cero.</t>
        </is>
      </c>
    </row>
    <row r="34">
      <c r="A34" s="2" t="inlineStr">
        <is>
          <t xml:space="preserve">RN-34</t>
        </is>
      </c>
      <c r="B34" s="2" t="inlineStr">
        <is>
          <t xml:space="preserve">La filial emisora no puede registrar la aceptación de un crédito sin la entrega y acreditación previa de la información precontractual completa, y el proceso debe ejecutar ese paso sin aumentar el tiempo de originación en el mesón respecto del proceso actual.</t>
        </is>
      </c>
      <c r="C34" s="4" t="inlineStr">
        <is>
          <t xml:space="preserve">M</t>
        </is>
      </c>
      <c r="D34" s="2" t="inlineStr">
        <is>
          <t xml:space="preserve">Cap. 8, entrevistas de Cecilia Bordalí y Jonathan Millán; Rest. N°3; Ley 20.555 ⚠; Cap. 18, criterio 28</t>
        </is>
      </c>
      <c r="E34" s="2" t="inlineStr">
        <is>
          <t xml:space="preserve">Tiempo de originación con información precontractual acreditada ≤ tiempo actual (3 min); cero aceptaciones registradas sin evidencia de entrega previa.</t>
        </is>
      </c>
    </row>
    <row r="35">
      <c r="A35" s="2" t="inlineStr">
        <is>
          <t xml:space="preserve">RN-35</t>
        </is>
      </c>
      <c r="B35" s="2" t="inlineStr">
        <is>
          <t xml:space="preserve">La filial emisora debe registrar de forma estructurada la versión del documento entregado, el instante de entrega, el instante de aceptación, el medio y el contenido exacto aceptado.</t>
        </is>
      </c>
      <c r="C35" s="4" t="inlineStr">
        <is>
          <t xml:space="preserve">M</t>
        </is>
      </c>
      <c r="D35" s="2" t="inlineStr">
        <is>
          <t xml:space="preserve">Cap. 10, restricción N°2; Cap. 16.1, decisiones N°5 y 6; Cap. 7, sección 7.3 (Repactaciones de 2025 sin evidencia recuperable del consentimiento)</t>
        </is>
      </c>
      <c r="E35" s="2" t="inlineStr">
        <is>
          <t xml:space="preserve">Recuperación de la evidencia completa de una operación arbitraria en ≤ objetivo declarado, a 10 años.</t>
        </is>
      </c>
    </row>
    <row r="36">
      <c r="A36" s="2" t="inlineStr">
        <is>
          <t xml:space="preserve">RN-36</t>
        </is>
      </c>
      <c r="B36" s="2" t="inlineStr">
        <is>
          <t xml:space="preserve">La filial emisora debe conservar los antecedentes del crédito por todo el plazo del crédito y 6 años más, y no puede aplicar la práctica actual de 90 días para las grabaciones</t>
        </is>
      </c>
      <c r="C36" s="4" t="inlineStr">
        <is>
          <t xml:space="preserve">M</t>
        </is>
      </c>
      <c r="D36" s="2" t="inlineStr">
        <is>
          <t xml:space="preserve">Cap. 15, RT-05.10; Cap. 7, sección 7.3; Cap. 4, sección 4.11</t>
        </is>
      </c>
      <c r="E36" s="2" t="inlineStr">
        <is>
          <t xml:space="preserve">Prueba de restauración desde archivo frío de una operación de la cohorte más antigua.</t>
        </is>
      </c>
    </row>
    <row r="37">
      <c r="A37" s="2" t="inlineStr">
        <is>
          <t xml:space="preserve">RN-37</t>
        </is>
      </c>
      <c r="B37" s="2" t="inlineStr">
        <is>
          <t xml:space="preserve">La filial emisora no puede aplicar una tasa superior a la Tasa Máxima Convencional vigente a la fecha de la operación.</t>
        </is>
      </c>
      <c r="C37" s="4" t="inlineStr">
        <is>
          <t xml:space="preserve">M</t>
        </is>
      </c>
      <c r="D37" s="2" t="inlineStr">
        <is>
          <t xml:space="preserve">Cap. 12, Ley 18.010 ⚠</t>
        </is>
      </c>
      <c r="E37" s="2" t="inlineStr">
        <is>
          <t xml:space="preserve">Control automático en la originación con la TMC vigente cargada; cero operaciones sobre el límite.</t>
        </is>
      </c>
    </row>
    <row r="38">
      <c r="A38" s="2" t="inlineStr">
        <is>
          <t xml:space="preserve">RN-38</t>
        </is>
      </c>
      <c r="B38" s="2" t="inlineStr">
        <is>
          <t xml:space="preserve">La filial emisora debe asignar el cupo en función exclusiva de la evaluación de capacidad de pago documentada, y no puede asignarlo en función del monto de la venta en curso ni de la solicitud del vendedor.</t>
        </is>
      </c>
      <c r="C38" s="4" t="inlineStr">
        <is>
          <t xml:space="preserve">M</t>
        </is>
      </c>
      <c r="D38" s="2" t="inlineStr">
        <is>
          <t xml:space="preserve">Cap. 4, sección 4.5 y sección 4.10; Cap. 16.1, decisión N°6</t>
        </is>
      </c>
      <c r="E38" s="2" t="inlineStr">
        <is>
          <t xml:space="preserve">Auditoría de correlación entre cupo asignado y monto de la venta gatillante: sin correlación significativa.</t>
        </is>
      </c>
    </row>
    <row r="39">
      <c r="A39" s="2" t="inlineStr">
        <is>
          <t xml:space="preserve">RN-39</t>
        </is>
      </c>
      <c r="B39" s="2" t="inlineStr">
        <is>
          <t xml:space="preserve">El vendedor no puede alterar, repetir ni forzar el resultado de una evaluación crediticia, aunque su remuneración dependa del cierre con tarjeta.</t>
        </is>
      </c>
      <c r="C39" s="4" t="inlineStr">
        <is>
          <t xml:space="preserve">—</t>
        </is>
      </c>
      <c r="D39" s="2" t="inlineStr">
        <is>
          <t xml:space="preserve">—</t>
        </is>
      </c>
      <c r="E39" s="2" t="inlineStr">
        <is>
          <t xml:space="preserve">—</t>
        </is>
      </c>
    </row>
    <row r="40">
      <c r="A40" s="2" t="inlineStr">
        <is>
          <t xml:space="preserve">RN-40</t>
        </is>
      </c>
      <c r="B40" s="2" t="inlineStr">
        <is>
          <t xml:space="preserve">La filial emisora no puede registrar ninguna modificación de las condiciones de un crédito sin evidencia recuperable del consentimiento expreso e informado del cliente.</t>
        </is>
      </c>
      <c r="C40" s="4" t="inlineStr">
        <is>
          <t xml:space="preserve">M</t>
        </is>
      </c>
      <c r="D40" s="2" t="inlineStr">
        <is>
          <t xml:space="preserve">Cap. 10, restricción N°2; Cap. 4, sección 4.11</t>
        </is>
      </c>
      <c r="E40" s="2" t="inlineStr">
        <is>
          <t xml:space="preserve">Muestreo de 100 % de las repactaciones de un período: evidencia recuperable en todos los casos. Meta Cap. 7, sección 7.3: cero casos sin evidencia.</t>
        </is>
      </c>
    </row>
    <row r="41">
      <c r="A41" s="2" t="inlineStr">
        <is>
          <t xml:space="preserve">RN-41</t>
        </is>
      </c>
      <c r="B41" s="2" t="inlineStr">
        <is>
          <t xml:space="preserve">La evidencia de consentimiento debe acreditar qué se informó, en qué versión y qué aceptó el cliente; el registro de la nueva condición y una grabación no bastan por sí solos.</t>
        </is>
      </c>
      <c r="C41" s="4" t="inlineStr">
        <is>
          <t xml:space="preserve">M</t>
        </is>
      </c>
      <c r="D41" s="2" t="inlineStr">
        <is>
          <t xml:space="preserve">Cap. 4, sección 4.11 (1.240 casos de 2025); Cap. 16.1, decisión N°5</t>
        </is>
      </c>
      <c r="E41" s="2" t="inlineStr">
        <is>
          <t xml:space="preserve">Simulacro de requerimiento de la autoridad fiscalizadora: reconstrucción íntegra del acto de consentimiento.</t>
        </is>
      </c>
    </row>
    <row r="42">
      <c r="A42" s="2" t="inlineStr">
        <is>
          <t xml:space="preserve">RN-42</t>
        </is>
      </c>
      <c r="B42" s="2" t="inlineStr">
        <is>
          <t xml:space="preserve">La filial emisora debe imputar los pagos según un orden único, definido, aplicado automáticamente y expuesto al cliente en su estado de cuenta.</t>
        </is>
      </c>
      <c r="C42" s="4" t="inlineStr">
        <is>
          <t xml:space="preserve">M</t>
        </is>
      </c>
      <c r="D42" s="2" t="inlineStr">
        <is>
          <t xml:space="preserve">Cap. 17.1, Registro de reglas de negocio (mención expresa)</t>
        </is>
      </c>
      <c r="E42" s="2" t="inlineStr">
        <is>
          <t xml:space="preserve">Recálculo independiente de una muestra de cuentas: coincidencia exacta de saldos.</t>
        </is>
      </c>
    </row>
    <row r="43">
      <c r="A43" s="2" t="inlineStr">
        <is>
          <t xml:space="preserve">RN-43</t>
        </is>
      </c>
      <c r="B43" s="2" t="inlineStr">
        <is>
          <t xml:space="preserve">La filial emisora no puede cobrar gastos de cobranza extrajudicial antes del plazo de atraso que fija la ley ni por sobre los porcentajes máximos por tramo ⚠ (verificar tramos y plazo, art. 37 LPC).</t>
        </is>
      </c>
      <c r="C43" s="4" t="inlineStr">
        <is>
          <t xml:space="preserve">M</t>
        </is>
      </c>
      <c r="D43" s="2" t="inlineStr">
        <is>
          <t xml:space="preserve">Cap. 12, cobranza extrajudicial ⚠</t>
        </is>
      </c>
      <c r="E43" s="2" t="inlineStr">
        <is>
          <t xml:space="preserve">Control automático por tramo; auditoría de una muestra con recálculo manual.</t>
        </is>
      </c>
    </row>
    <row r="44">
      <c r="A44" s="2" t="inlineStr">
        <is>
          <t xml:space="preserve">RN-44</t>
        </is>
      </c>
      <c r="B44" s="2" t="inlineStr">
        <is>
          <t xml:space="preserve">La empresa de cobranza no puede comunicarse con el deudor fuera de los horarios permitidos, en su lugar de trabajo ni con terceros.</t>
        </is>
      </c>
      <c r="C44" s="4" t="inlineStr">
        <is>
          <t xml:space="preserve">—</t>
        </is>
      </c>
      <c r="D44" s="2" t="inlineStr">
        <is>
          <t xml:space="preserve">Cap. 12, cobranza extrajudicial ⚠</t>
        </is>
      </c>
      <c r="E44" s="2" t="inlineStr">
        <is>
          <t xml:space="preserve">Registro completo de comunicaciones con horario y destinatario; muestreo mensual.</t>
        </is>
      </c>
    </row>
    <row r="45">
      <c r="A45" s="2" t="inlineStr">
        <is>
          <t xml:space="preserve">RN-45</t>
        </is>
      </c>
      <c r="B45" s="2" t="inlineStr">
        <is>
          <t xml:space="preserve">La filial emisora debe aplicar debida diligencia sobre clientes y operaciones y reportar operaciones sospechosas conforme a la normativa de prevención de lavado de activos.</t>
        </is>
      </c>
      <c r="C45" s="4" t="inlineStr">
        <is>
          <t xml:space="preserve">M</t>
        </is>
      </c>
      <c r="D45" s="2" t="inlineStr">
        <is>
          <t xml:space="preserve">Cap. 12; Cap. 16.2, materia a investigar; Ley 19.913 ⚠</t>
        </is>
      </c>
      <c r="E45" s="2" t="inlineStr">
        <is>
          <t xml:space="preserve">Existencia de expediente por cliente y de procedimiento de reporte con responsable designado.</t>
        </is>
      </c>
    </row>
    <row r="46">
      <c r="A46" s="2" t="inlineStr">
        <is>
          <t xml:space="preserve">RN-46</t>
        </is>
      </c>
      <c r="B46" s="2" t="inlineStr">
        <is>
          <t xml:space="preserve">Una tienda debe poder vender, cobrar, aplicar promociones vigentes, emitir documentos y consultar existencia local durante un mínimo de 8 horas continuas sin enlace hacia el exterior.</t>
        </is>
      </c>
      <c r="C46" s="4" t="inlineStr">
        <is>
          <t xml:space="preserve">M</t>
        </is>
      </c>
      <c r="D46" s="2" t="inlineStr">
        <is>
          <t xml:space="preserve">Cap. 6, filas de enlace; Cap. 10, restricción N°5; Cap. 15, RT-03.10</t>
        </is>
      </c>
      <c r="E46" s="2" t="inlineStr">
        <is>
          <t xml:space="preserve">Ensayo de corte de enlace de 8 h en tienda piloto: venta y cobro sostenidos, sin pérdida de documentos.</t>
        </is>
      </c>
    </row>
    <row r="47">
      <c r="A47" s="2" t="inlineStr">
        <is>
          <t xml:space="preserve">RN-47</t>
        </is>
      </c>
      <c r="B47" s="2" t="inlineStr">
        <is>
          <t xml:space="preserve">En caso de pérdida del enlace hacia el exterior, la caja puede seguir otorgando crédito solo contra cupo preaprobado vigente en caché, con tope de monto y de operaciones, pero no puede abrir tarjeta nueva ni ampliar cupo en ese estado.</t>
        </is>
      </c>
      <c r="C47" s="4" t="inlineStr">
        <is>
          <t xml:space="preserve">M</t>
        </is>
      </c>
      <c r="D47" s="2" t="inlineStr">
        <is>
          <t xml:space="preserve">Cap. 10, restricción N°5; Cap. 15, RT-03.10 (exige resolverlo, no omitirlo); Cap. 16.1, decisión N°7</t>
        </is>
      </c>
      <c r="E47" s="2" t="inlineStr">
        <is>
          <t xml:space="preserve">Ensayo desconectado: operaciones dentro del tope se cursan y se marcan; apertura y ampliación quedan bloqueadas.</t>
        </is>
      </c>
    </row>
    <row r="48">
      <c r="A48" s="2" t="inlineStr">
        <is>
          <t xml:space="preserve">RN-48</t>
        </is>
      </c>
      <c r="B48" s="2" t="inlineStr">
        <is>
          <t xml:space="preserve">Al restablecerse el enlace, la compañía no debe perder ni duplicar ninguna venta ni documento, y debe resolver de forma determinista la existencia comprometida en otros canales durante la desconexión.</t>
        </is>
      </c>
      <c r="C48" s="4" t="inlineStr">
        <is>
          <t xml:space="preserve">M</t>
        </is>
      </c>
      <c r="D48" s="2" t="inlineStr">
        <is>
          <t xml:space="preserve">Cap. 15, RT-03.13</t>
        </is>
      </c>
      <c r="E48" s="2" t="inlineStr">
        <is>
          <t xml:space="preserve">Reconciliación con inyección de conflictos: cero pérdidas, cero duplicados, resultado idéntico ante repetición.</t>
        </is>
      </c>
    </row>
    <row r="49">
      <c r="A49" s="2" t="inlineStr">
        <is>
          <t xml:space="preserve">RN-49</t>
        </is>
      </c>
      <c r="B49" s="2" t="inlineStr">
        <is>
          <t xml:space="preserve">El sistema de gestión empresarial debe mantenerse como único emisor de documentos tributarios; ninguna solución puede sustituirlo en esa función.</t>
        </is>
      </c>
      <c r="C49" s="4" t="inlineStr">
        <is>
          <t xml:space="preserve">M</t>
        </is>
      </c>
      <c r="D49" s="2" t="inlineStr">
        <is>
          <t xml:space="preserve">Cap. 10, restricción N°6; Cap. 11, exclusión explícita</t>
        </is>
      </c>
      <c r="E49" s="2" t="inlineStr">
        <is>
          <t xml:space="preserve">Arquitectura revisada: un solo emisor de documentos tributarios en el diagrama de despliegue.</t>
        </is>
      </c>
    </row>
    <row r="50">
      <c r="A50" s="2" t="inlineStr">
        <is>
          <t xml:space="preserve">RN-50</t>
        </is>
      </c>
      <c r="B50" s="2" t="inlineStr">
        <is>
          <t xml:space="preserve">Ninguna solución puede suponer un dispositivo asignado por vendedor y su adquisición está fuera del alcance.</t>
        </is>
      </c>
      <c r="C50" s="4" t="inlineStr">
        <is>
          <t xml:space="preserve">M</t>
        </is>
      </c>
      <c r="D50" s="2" t="inlineStr">
        <is>
          <t xml:space="preserve">Cap. 6, fila "Dispositivos en sala"; Cap. 10, restricción N°11; Cap. 11</t>
        </is>
      </c>
      <c r="E50" s="2" t="inlineStr">
        <is>
          <t xml:space="preserve">Diseño verificado con sesión nominativa sobre terminal compartida, traspaso ≤ objetivo declarado y cierre automático por inactividad.</t>
        </is>
      </c>
    </row>
    <row r="51">
      <c r="A51" s="2" t="inlineStr">
        <is>
          <t xml:space="preserve">RN-51</t>
        </is>
      </c>
      <c r="B51" s="2" t="inlineStr">
        <is>
          <t xml:space="preserve">La compañía no puede imponer herramientas ni capacitación por vía laboral a los repositores externos, pero debe controlar su acceso mediante habilitación temporal patrocinada por el proveedor.</t>
        </is>
      </c>
      <c r="C51" s="4" t="inlineStr">
        <is>
          <t xml:space="preserve">M</t>
        </is>
      </c>
      <c r="D51" s="2" t="inlineStr">
        <is>
          <t xml:space="preserve">Cap. 7, sección 7.4; Cap. 10, restricción N°12; Cap. 16.1, decisión N°19</t>
        </is>
      </c>
      <c r="E51" s="2" t="inlineStr">
        <is>
          <t xml:space="preserve">Registro individualizado de acceso y actividad de personal externo, con caducidad automática. Hoy: inexistente.</t>
        </is>
      </c>
    </row>
    <row r="52">
      <c r="A52" s="2" t="inlineStr">
        <is>
          <t xml:space="preserve">RN-52</t>
        </is>
      </c>
      <c r="B52" s="2" t="inlineStr">
        <is>
          <t xml:space="preserve">La compañía debe revocar la totalidad de los accesos y credenciales de un trabajador dentro del plazo máximo establecido por la política interna, contado a partir de la fecha y hora efectiva del término de su vínculo laboral.</t>
        </is>
      </c>
      <c r="C52" s="4" t="inlineStr">
        <is>
          <t xml:space="preserve">M</t>
        </is>
      </c>
      <c r="D52" s="2" t="inlineStr">
        <is>
          <t xml:space="preserve">Cap. 2, dotación; Cap. 7, sección 7.4; Cap. 16.1, decisión N°24</t>
        </is>
      </c>
      <c r="E52" s="2" t="inlineStr">
        <is>
          <t xml:space="preserve">Auditoría de accesos vigentes contra nómina activa: cero accesos huérfanos.</t>
        </is>
      </c>
    </row>
    <row r="53">
      <c r="A53" s="2" t="inlineStr">
        <is>
          <t xml:space="preserve">RN-53</t>
        </is>
      </c>
      <c r="B53" s="2" t="inlineStr">
        <is>
          <t xml:space="preserve">Una persona no puede ejercer roles de originación o repactación sin capacitación normativa acreditada y vigente.</t>
        </is>
      </c>
      <c r="C53" s="4" t="inlineStr">
        <is>
          <t xml:space="preserve">—</t>
        </is>
      </c>
      <c r="D53" s="2" t="inlineStr">
        <is>
          <t xml:space="preserve">—</t>
        </is>
      </c>
      <c r="E53" s="2" t="inlineStr">
        <is>
          <t xml:space="preserve">—</t>
        </is>
      </c>
    </row>
    <row r="54">
      <c r="A54" s="2" t="inlineStr">
        <is>
          <t xml:space="preserve">RN-54</t>
        </is>
      </c>
      <c r="B54" s="2" t="inlineStr">
        <is>
          <t xml:space="preserve">La compañía debe reconocer al vendedor y a la tienda de origen la comisión correspondiente cuando una unidad de su sala se usa para cumplir un pedido de otro canal.</t>
        </is>
      </c>
      <c r="C54" s="4" t="inlineStr">
        <is>
          <t xml:space="preserve">S</t>
        </is>
      </c>
      <c r="D54" s="2" t="inlineStr">
        <is>
          <t xml:space="preserve">Cap. 7, sección 7.2; Cap. 11 (se excluye remuneraciones, no el cálculo de la base); Cap. 16.1, decisión N°14</t>
        </is>
      </c>
      <c r="E54" s="2" t="inlineStr">
        <is>
          <t xml:space="preserve">Cálculo de base de comisión trazable por unidad despachada desde tienda; hoy la compensación es inexistente.</t>
        </is>
      </c>
    </row>
    <row r="55">
      <c r="A55" s="2" t="inlineStr">
        <is>
          <t xml:space="preserve">RN-55</t>
        </is>
      </c>
      <c r="B55" s="2" t="inlineStr">
        <is>
          <t xml:space="preserve">El proyecto no puede intervenir sistemas entre el 1 de noviembre y el 6 de enero, durante los tres días del evento anual y su semana previa, durante el evento de noviembre, en la semana del Día de la Madre, ni entre la última semana de enero y la primera de marzo.</t>
        </is>
      </c>
      <c r="C55" s="4" t="inlineStr">
        <is>
          <t xml:space="preserve">M</t>
        </is>
      </c>
      <c r="D55" s="2" t="inlineStr">
        <is>
          <t xml:space="preserve">Cap. 10, restricción N°10; Cap. 13, sección 13.2; Cap. 15, RT-10.5</t>
        </is>
      </c>
      <c r="E55" s="2" t="inlineStr">
        <is>
          <t xml:space="preserve">Cronograma con las cinco ventanas bloqueadas y cero hitos de puesta en producción dentro de ellas.</t>
        </is>
      </c>
    </row>
    <row r="56">
      <c r="A56" s="2" t="inlineStr">
        <is>
          <t xml:space="preserve">RN-56</t>
        </is>
      </c>
      <c r="B56" s="2" t="inlineStr">
        <is>
          <t xml:space="preserve">El plan debe absorber la fecha del evento anual sin desplazar hitos contractuales.</t>
        </is>
      </c>
      <c r="C56" s="4" t="inlineStr">
        <is>
          <t xml:space="preserve">M</t>
        </is>
      </c>
      <c r="D56" s="2" t="inlineStr">
        <is>
          <t xml:space="preserve">Cap. 10, restricción N°10; Cap. 13, sección 13.2; Cap. 15, RT-10.5</t>
        </is>
      </c>
      <c r="E56" s="2" t="inlineStr">
        <is>
          <t xml:space="preserve">Holgura reservada declarada y cuantificada en el cronograma, con su costo asociado.</t>
        </is>
      </c>
    </row>
    <row r="57">
      <c r="A57" s="2" t="inlineStr">
        <is>
          <t xml:space="preserve">RN-57</t>
        </is>
      </c>
      <c r="B57" s="2" t="inlineStr">
        <is>
          <t xml:space="preserve">La compañía debe definir por anticipado qué se degrada, en qué orden y con qué criterios durante el evento anual, y debe designar el rol facultado para suspender la publicación de una categoría en caso de ser necesario.</t>
        </is>
      </c>
      <c r="C57" s="4" t="inlineStr">
        <is>
          <t xml:space="preserve">M</t>
        </is>
      </c>
      <c r="D57" s="2" t="inlineStr">
        <is>
          <t xml:space="preserve">Cap. 9, sección 9.11; Cap. 16.1, decisión N°23; Cap. 18, criterio 25</t>
        </is>
      </c>
      <c r="E57" s="2" t="inlineStr">
        <is>
          <t xml:space="preserve">Procedimiento firmado antes del evento más ensayo previo con el rol ejecutando la suspensión.</t>
        </is>
      </c>
    </row>
    <row r="58">
      <c r="A58" s="2" t="inlineStr">
        <is>
          <t xml:space="preserve">RN-58</t>
        </is>
      </c>
      <c r="B58" s="2" t="inlineStr">
        <is>
          <t xml:space="preserve">La migración de la cartera de 620.000 clientes con saldo no puede producir pérdida de información, interrupción del servicio ni divergencia de saldos.</t>
        </is>
      </c>
      <c r="C58" s="4" t="inlineStr">
        <is>
          <t xml:space="preserve">M</t>
        </is>
      </c>
      <c r="D58" s="2" t="inlineStr">
        <is>
          <t xml:space="preserve">Cap. 10, restricción N°8; Cap. 16.1, decisión N°25; Cap. 13, sección 13.1</t>
        </is>
      </c>
      <c r="E58" s="2" t="inlineStr">
        <is>
          <t xml:space="preserve">Conciliación saldo a saldo en ensayos sucesivos: diferencia cero. Plan de corte y de retorno probado.</t>
        </is>
      </c>
    </row>
    <row r="59">
      <c r="A59" s="2" t="inlineStr">
        <is>
          <t xml:space="preserve">RN-59</t>
        </is>
      </c>
      <c r="B59" s="2" t="inlineStr">
        <is>
          <t xml:space="preserve">La compañía no adquirirá etiquetas electrónicas para las 22 tiendas en este contrato, pero el PROPONENTE debe especificarlas y costearlas frente a las demás opciones para resolver la discrepancia de precio.</t>
        </is>
      </c>
      <c r="C59" s="4" t="inlineStr">
        <is>
          <t xml:space="preserve">W</t>
        </is>
      </c>
      <c r="D59" s="2" t="inlineStr">
        <is>
          <t xml:space="preserve">Cap. 11, exclusión explícita; Cap. 16.1, decisión N°9</t>
        </is>
      </c>
      <c r="E59" s="2" t="inlineStr">
        <is>
          <t xml:space="preserve">Comparación costeada de las tres alternativas en la propuesta, con recomendación fundada.</t>
        </is>
      </c>
    </row>
    <row r="60">
      <c r="A60" s="2" t="inlineStr">
        <is>
          <t xml:space="preserve">RN-60</t>
        </is>
      </c>
      <c r="B60" s="2" t="inlineStr">
        <is>
          <t xml:space="preserve">La compañía no adquirirá dispositivos móviles para el personal de venta, pero el PROPONENTE debe especificar cuántos se requerirían y con qué características.</t>
        </is>
      </c>
      <c r="C60" s="4" t="inlineStr">
        <is>
          <t xml:space="preserve">W</t>
        </is>
      </c>
      <c r="D60" s="2" t="inlineStr">
        <is>
          <t xml:space="preserve">Cap. 10, restricción N°11; Cap. 11, exclusión explícita</t>
        </is>
      </c>
      <c r="E60" s="2" t="inlineStr">
        <is>
          <t xml:space="preserve">Especificación cuantificada por tienda y departamento en el anexo de hardware.</t>
        </is>
      </c>
    </row>
    <row r="61">
      <c r="A61" s="2" t="inlineStr">
        <is>
          <t xml:space="preserve">RN-61</t>
        </is>
      </c>
      <c r="B61" s="2" t="inlineStr">
        <is>
          <t xml:space="preserve">La incorporación del centro de distribución de Concepción a un sistema de gestión de almacenes no puede darse por supuesta; debe evaluarse y costearse como decisión con alternativas.</t>
        </is>
      </c>
      <c r="C61" s="4" t="inlineStr">
        <is>
          <t xml:space="preserve">W</t>
        </is>
      </c>
      <c r="D61" s="2" t="inlineStr">
        <is>
          <t xml:space="preserve">Cap. 10, restricción N°14; Cap. 16.1, decisión N°20</t>
        </is>
      </c>
      <c r="E61" s="2" t="inlineStr">
        <is>
          <t xml:space="preserve">Análisis hacer-o-comprar con las tres opciones (incorporar, solución propia, mantener) y su impacto en RN-15.</t>
        </is>
      </c>
    </row>
    <row r="62">
      <c r="A62" s="7" t="inlineStr">
        <is>
          <t xml:space="preserve">RN-P01</t>
        </is>
      </c>
      <c r="B62" s="7" t="inlineStr">
        <is>
          <t xml:space="preserve">Toda referencia debe tener completos sus atributos obligatorios (categoría, dimensiones, fragilidad, volumen y restricción de despacho) antes de publicarse en el canal digital.</t>
        </is>
      </c>
      <c r="C62" s="7" t="inlineStr">
        <is>
          <t xml:space="preserve">—</t>
        </is>
      </c>
      <c r="D62" s="7" t="inlineStr">
        <is>
          <t xml:space="preserve">Propuesta del proponente, derivada de RF-142, RF-143, RF-147, RF-148. Por validar.</t>
        </is>
      </c>
      <c r="E62" s="7" t="inlineStr">
        <is>
          <t xml:space="preserve">—</t>
        </is>
      </c>
    </row>
    <row r="63">
      <c r="A63" s="7" t="inlineStr">
        <is>
          <t xml:space="preserve">RN-P02</t>
        </is>
      </c>
      <c r="B63" s="7" t="inlineStr">
        <is>
          <t xml:space="preserve">La unidad que ingresa al probador no está disponible para vender mientras no reingrese a sala o se venda.</t>
        </is>
      </c>
      <c r="C63" s="7" t="inlineStr">
        <is>
          <t xml:space="preserve">—</t>
        </is>
      </c>
      <c r="D63" s="7" t="inlineStr">
        <is>
          <t xml:space="preserve">Propuesta del proponente, derivada de RF-153 a RF-156. Por validar.</t>
        </is>
      </c>
      <c r="E63" s="7" t="inlineStr">
        <is>
          <t xml:space="preserve">—</t>
        </is>
      </c>
    </row>
    <row r="64">
      <c r="A64" s="7" t="inlineStr">
        <is>
          <t xml:space="preserve">RN-P03</t>
        </is>
      </c>
      <c r="B64" s="7" t="inlineStr">
        <is>
          <t xml:space="preserve">El cliente debe ver desde el catálogo hasta la compra quién vende y quién despacha la unidad, y las condiciones de devolución y de garantía legal aplicables.</t>
        </is>
      </c>
      <c r="C64" s="7" t="inlineStr">
        <is>
          <t xml:space="preserve">—</t>
        </is>
      </c>
      <c r="D64" s="7" t="inlineStr">
        <is>
          <t xml:space="preserve">Propuesta del proponente, derivada de RF-113 a RF-116. Por validar.</t>
        </is>
      </c>
      <c r="E64" s="7" t="inlineStr">
        <is>
          <t xml:space="preserve">—</t>
        </is>
      </c>
    </row>
    <row r="65">
      <c r="A65" s="7" t="inlineStr">
        <is>
          <t xml:space="preserve">RN-P04</t>
        </is>
      </c>
      <c r="B65" s="7" t="inlineStr">
        <is>
          <t xml:space="preserve">Los actos de crédito, la recepción de mercadería y la devolución deben dejar un mecanismo de conformidad con integridad verificable, y el medio por el que se informó y aceptó.</t>
        </is>
      </c>
      <c r="C65" s="7" t="inlineStr">
        <is>
          <t xml:space="preserve">—</t>
        </is>
      </c>
      <c r="D65" s="7" t="inlineStr">
        <is>
          <t xml:space="preserve">Propuesta del proponente, derivada de RF-203, RNF-39, RNF-40. Por validar.</t>
        </is>
      </c>
      <c r="E65" s="7" t="inlineStr">
        <is>
          <t xml:space="preserve">—</t>
        </is>
      </c>
    </row>
    <row r="66">
      <c r="A66" s="7" t="inlineStr">
        <is>
          <t xml:space="preserve">RN-P05</t>
        </is>
      </c>
      <c r="B66" s="7" t="inlineStr">
        <is>
          <t xml:space="preserve">El vendedor de piso debe poder consultar la disponibilidad para vender junto con su porcentaje de error probable, con respuesta ágil en una terminal compartida.</t>
        </is>
      </c>
      <c r="C66" s="7" t="inlineStr">
        <is>
          <t xml:space="preserve">—</t>
        </is>
      </c>
      <c r="D66" s="7" t="inlineStr">
        <is>
          <t xml:space="preserve">Propuesta del proponente, derivada de RF-101, RF-161, RNF-21. Por validar.</t>
        </is>
      </c>
      <c r="E66" s="7" t="inlineStr">
        <is>
          <t xml:space="preserve">—</t>
        </is>
      </c>
    </row>
  </sheetData>
  <pageMargins left="0.5" right="0.5" top="0.6" bottom="0.6" header="0.3" footer="0.3"/>
  <pageSetup orientation="landscape" fitToWidth="1" fitToHeight="0"/>
</worksheet>
</file>

<file path=xl/worksheets/sheet7.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4.5"/>
  <cols>
    <col min="1" max="1" width="12" customWidth="1"/>
    <col min="2" max="2" width="10" customWidth="1"/>
    <col min="3" max="3" width="60" customWidth="1"/>
    <col min="4" max="4" width="40" customWidth="1"/>
    <col min="5" max="5" width="22" customWidth="1"/>
    <col min="6" max="6" width="12" customWidth="1"/>
  </cols>
  <sheetData>
    <row r="1" ht="28" customHeight="1">
      <c r="A1" s="1" t="inlineStr">
        <is>
          <t xml:space="preserve">ID de origen</t>
        </is>
      </c>
      <c r="B1" s="1" t="inlineStr">
        <is>
          <t xml:space="preserve">Tipo original</t>
        </is>
      </c>
      <c r="C1" s="1" t="inlineStr">
        <is>
          <t xml:space="preserve">Enunciado original (v2.1)</t>
        </is>
      </c>
      <c r="D1" s="1" t="inlineStr">
        <is>
          <t xml:space="preserve">Regla(s) de atomicidad aplicada(s)</t>
        </is>
      </c>
      <c r="E1" s="1" t="inlineStr">
        <is>
          <t xml:space="preserve">IDs resultantes</t>
        </is>
      </c>
      <c r="F1" s="1" t="inlineStr">
        <is>
          <t xml:space="preserve">N° resultantes</t>
        </is>
      </c>
    </row>
    <row r="2">
      <c r="A2" s="2" t="inlineStr">
        <is>
          <t xml:space="preserve">RF-044.2</t>
        </is>
      </c>
      <c r="B2" s="2" t="inlineStr">
        <is>
          <t xml:space="preserve">RF</t>
        </is>
      </c>
      <c r="C2" s="2" t="inlineStr">
        <is>
          <t xml:space="preserve">El sistema deberá impedir el acceso anónimo o con credencial compartida.</t>
        </is>
      </c>
      <c r="D2" s="2" t="inlineStr">
        <is>
          <t xml:space="preserve">Regla 1 (conjunción); Regla 3 (testabilidad aislada)</t>
        </is>
      </c>
      <c r="E2" s="2" t="inlineStr">
        <is>
          <t xml:space="preserve">RF-003, RF-004</t>
        </is>
      </c>
      <c r="F2" s="2" t="inlineStr">
        <is>
          <t xml:space="preserve">2</t>
        </is>
      </c>
    </row>
    <row r="3">
      <c r="A3" s="2" t="inlineStr">
        <is>
          <t xml:space="preserve">RF-119</t>
        </is>
      </c>
      <c r="B3" s="2" t="inlineStr">
        <is>
          <t xml:space="preserve">RF</t>
        </is>
      </c>
      <c r="C3" s="2" t="inlineStr">
        <is>
          <t xml:space="preserve">El sistema deberá conciliar los accesos vigentes contra la nómina activa e informar los accesos huérfanos detectados.</t>
        </is>
      </c>
      <c r="D3" s="2" t="inlineStr">
        <is>
          <t xml:space="preserve">Regla 1 (conjunción); Regla 2 (verbo único)</t>
        </is>
      </c>
      <c r="E3" s="2" t="inlineStr">
        <is>
          <t xml:space="preserve">RF-014, RF-015</t>
        </is>
      </c>
      <c r="F3" s="2" t="inlineStr">
        <is>
          <t xml:space="preserve">2</t>
        </is>
      </c>
    </row>
    <row r="4">
      <c r="A4" s="2" t="inlineStr">
        <is>
          <t xml:space="preserve">RF-034</t>
        </is>
      </c>
      <c r="B4" s="2" t="inlineStr">
        <is>
          <t xml:space="preserve">RF</t>
        </is>
      </c>
      <c r="C4" s="2" t="inlineStr">
        <is>
          <t xml:space="preserve">El PROPONENTE deberá especificar y costear la alternativa de etiquetas electrónicas frente a las demás opciones, sin asumir su adquisición como parte del alcance.</t>
        </is>
      </c>
      <c r="D4" s="2" t="inlineStr">
        <is>
          <t xml:space="preserve">Regla 2 (verbo único); Regla 5 (separación RF/RNF); hallazgo H-11</t>
        </is>
      </c>
      <c r="E4" s="2" t="inlineStr">
        <is>
          <t xml:space="preserve">OP-01, OP-02</t>
        </is>
      </c>
      <c r="F4" s="2" t="inlineStr">
        <is>
          <t xml:space="preserve">2</t>
        </is>
      </c>
    </row>
    <row r="5">
      <c r="A5" s="2" t="inlineStr">
        <is>
          <t xml:space="preserve">RF-042.2</t>
        </is>
      </c>
      <c r="B5" s="2" t="inlineStr">
        <is>
          <t xml:space="preserve">RF</t>
        </is>
      </c>
      <c r="C5" s="2" t="inlineStr">
        <is>
          <t xml:space="preserve">El sistema deberá generar una alerta operativa al jefe de tienda identificando la etiqueta no confirmada, antes de la apertura de sala.</t>
        </is>
      </c>
      <c r="D5" s="2" t="inlineStr">
        <is>
          <t xml:space="preserve">Regla 5 (separación RF/RNF)</t>
        </is>
      </c>
      <c r="E5" s="2" t="inlineStr">
        <is>
          <t xml:space="preserve">RF-027, RNF-01</t>
        </is>
      </c>
      <c r="F5" s="2" t="inlineStr">
        <is>
          <t xml:space="preserve">2</t>
        </is>
      </c>
    </row>
    <row r="6">
      <c r="A6" s="2" t="inlineStr">
        <is>
          <t xml:space="preserve">RF-043</t>
        </is>
      </c>
      <c r="B6" s="2" t="inlineStr">
        <is>
          <t xml:space="preserve">RF</t>
        </is>
      </c>
      <c r="C6" s="2" t="inlineStr">
        <is>
          <t xml:space="preserve">El PROPONENTE deberá especificar la cobertura de despliegue, el hardware requerido y su costo, separadamente del resto de la solución.</t>
        </is>
      </c>
      <c r="D6" s="2" t="inlineStr">
        <is>
          <t xml:space="preserve">Regla 1 (conjunción); hallazgo H-11</t>
        </is>
      </c>
      <c r="E6" s="2" t="inlineStr">
        <is>
          <t xml:space="preserve">OP-03, OP-04, OP-05</t>
        </is>
      </c>
      <c r="F6" s="2" t="inlineStr">
        <is>
          <t xml:space="preserve">3</t>
        </is>
      </c>
    </row>
    <row r="7">
      <c r="A7" s="2" t="inlineStr">
        <is>
          <t xml:space="preserve">RF-010.5</t>
        </is>
      </c>
      <c r="B7" s="2" t="inlineStr">
        <is>
          <t xml:space="preserve">RF</t>
        </is>
      </c>
      <c r="C7" s="2" t="inlineStr">
        <is>
          <t xml:space="preserve">El sistema deberá liberar automáticamente la reserva y devolver la unidad al disponible para vender.</t>
        </is>
      </c>
      <c r="D7" s="2" t="inlineStr">
        <is>
          <t xml:space="preserve">Regla 1 (conjunción); Regla 2 (verbo único)</t>
        </is>
      </c>
      <c r="E7" s="2" t="inlineStr">
        <is>
          <t xml:space="preserve">RF-039, RF-040</t>
        </is>
      </c>
      <c r="F7" s="2" t="inlineStr">
        <is>
          <t xml:space="preserve">2</t>
        </is>
      </c>
    </row>
    <row r="8">
      <c r="A8" s="2" t="inlineStr">
        <is>
          <t xml:space="preserve">RF-014</t>
        </is>
      </c>
      <c r="B8" s="2" t="inlineStr">
        <is>
          <t xml:space="preserve">RF</t>
        </is>
      </c>
      <c r="C8" s="2" t="inlineStr">
        <is>
          <t xml:space="preserve">El sistema deberá calcular la base de comisión reconociendo al vendedor y a la tienda de origen, validando previamente contra el movimiento de inventario real.</t>
        </is>
      </c>
      <c r="D8" s="2" t="inlineStr">
        <is>
          <t xml:space="preserve">Regla 1 (conjunción); Regla 2 (verbo único); Regla 3 (testabilidad aislada)</t>
        </is>
      </c>
      <c r="E8" s="2" t="inlineStr">
        <is>
          <t xml:space="preserve">RF-054, RF-055</t>
        </is>
      </c>
      <c r="F8" s="2" t="inlineStr">
        <is>
          <t xml:space="preserve">2</t>
        </is>
      </c>
    </row>
    <row r="9">
      <c r="A9" s="2" t="inlineStr">
        <is>
          <t xml:space="preserve">RF-035</t>
        </is>
      </c>
      <c r="B9" s="2" t="inlineStr">
        <is>
          <t xml:space="preserve">RF</t>
        </is>
      </c>
      <c r="C9" s="2" t="inlineStr">
        <is>
          <t xml:space="preserve">El sistema deberá monitorear el tiempo restante de cada pedido respecto de su fecha prometida y priorizar su preparacion al acercarse al límite.</t>
        </is>
      </c>
      <c r="D9" s="2" t="inlineStr">
        <is>
          <t xml:space="preserve">Regla 1 (conjunción); Regla 2 (verbo único)</t>
        </is>
      </c>
      <c r="E9" s="2" t="inlineStr">
        <is>
          <t xml:space="preserve">RF-062, RF-063</t>
        </is>
      </c>
      <c r="F9" s="2" t="inlineStr">
        <is>
          <t xml:space="preserve">2</t>
        </is>
      </c>
    </row>
    <row r="10">
      <c r="A10" s="2" t="inlineStr">
        <is>
          <t xml:space="preserve">RF-036A</t>
        </is>
      </c>
      <c r="B10" s="2" t="inlineStr">
        <is>
          <t xml:space="preserve">RF</t>
        </is>
      </c>
      <c r="C10" s="2" t="inlineStr">
        <is>
          <t xml:space="preserve">El sistema deberá permitir al cliente no autenticado consultar el precio vigente y la disponibilidad por tienda y para despacho.</t>
        </is>
      </c>
      <c r="D10" s="2" t="inlineStr">
        <is>
          <t xml:space="preserve">Regla 1 (conjunción); Regla 3 (testabilidad aislada)</t>
        </is>
      </c>
      <c r="E10" s="2" t="inlineStr">
        <is>
          <t xml:space="preserve">RF-064, RF-065, RF-066</t>
        </is>
      </c>
      <c r="F10" s="2" t="inlineStr">
        <is>
          <t xml:space="preserve">3</t>
        </is>
      </c>
    </row>
    <row r="11">
      <c r="A11" s="2" t="inlineStr">
        <is>
          <t xml:space="preserve">RF-037</t>
        </is>
      </c>
      <c r="B11" s="2" t="inlineStr">
        <is>
          <t xml:space="preserve">RF</t>
        </is>
      </c>
      <c r="C11" s="2" t="inlineStr">
        <is>
          <t xml:space="preserve">El sistema deberá permitir al cliente autenticado consultar sus compras, devoluciones, estado de cuenta y documentos.</t>
        </is>
      </c>
      <c r="D11" s="2" t="inlineStr">
        <is>
          <t xml:space="preserve">Regla 1 (conjunción); Regla 3 (testabilidad aislada)</t>
        </is>
      </c>
      <c r="E11" s="2" t="inlineStr">
        <is>
          <t xml:space="preserve">RF-067, RF-068, RF-069, RF-070</t>
        </is>
      </c>
      <c r="F11" s="2" t="inlineStr">
        <is>
          <t xml:space="preserve">4</t>
        </is>
      </c>
    </row>
    <row r="12">
      <c r="A12" s="2" t="inlineStr">
        <is>
          <t xml:space="preserve">RF-049</t>
        </is>
      </c>
      <c r="B12" s="2" t="inlineStr">
        <is>
          <t xml:space="preserve">RF</t>
        </is>
      </c>
      <c r="C12" s="2" t="inlineStr">
        <is>
          <t xml:space="preserve">El sistema deberá permitir al ejecutivo de mesón consultar el estado real del pedido y el precio aplicado, y ofrecer las opciones de resolución definidas en RF-059, RF-060 y RF-061.</t>
        </is>
      </c>
      <c r="D12" s="2" t="inlineStr">
        <is>
          <t xml:space="preserve">Regla 1 (conjunción); Regla 2 (verbo único)</t>
        </is>
      </c>
      <c r="E12" s="2" t="inlineStr">
        <is>
          <t xml:space="preserve">RF-072, RF-073, RF-074</t>
        </is>
      </c>
      <c r="F12" s="2" t="inlineStr">
        <is>
          <t xml:space="preserve">3</t>
        </is>
      </c>
    </row>
    <row r="13">
      <c r="A13" s="2" t="inlineStr">
        <is>
          <t xml:space="preserve">RF-110</t>
        </is>
      </c>
      <c r="B13" s="2" t="inlineStr">
        <is>
          <t xml:space="preserve">RF</t>
        </is>
      </c>
      <c r="C13" s="2" t="inlineStr">
        <is>
          <t xml:space="preserve">El sistema deberá reconciliar hacia los sistemas centrales la totalidad de las ventas y documentos registrados en modo desconectado.</t>
        </is>
      </c>
      <c r="D13" s="2" t="inlineStr">
        <is>
          <t xml:space="preserve">Regla 1 (conjunción); Regla 3 (testabilidad aislada)</t>
        </is>
      </c>
      <c r="E13" s="2" t="inlineStr">
        <is>
          <t xml:space="preserve">RF-095, RF-096</t>
        </is>
      </c>
      <c r="F13" s="2" t="inlineStr">
        <is>
          <t xml:space="preserve">2</t>
        </is>
      </c>
    </row>
    <row r="14">
      <c r="A14" s="2" t="inlineStr">
        <is>
          <t xml:space="preserve">RF-120</t>
        </is>
      </c>
      <c r="B14" s="2" t="inlineStr">
        <is>
          <t xml:space="preserve">RF</t>
        </is>
      </c>
      <c r="C14" s="2" t="inlineStr">
        <is>
          <t xml:space="preserve">El PROPONENTE deberá especificar la cantidad de dispositivos móviles que se requerirían por tienda y por departamento.</t>
        </is>
      </c>
      <c r="D14" s="2" t="inlineStr">
        <is>
          <t xml:space="preserve">Hallazgo H-11</t>
        </is>
      </c>
      <c r="E14" s="2" t="inlineStr">
        <is>
          <t xml:space="preserve">OP-06</t>
        </is>
      </c>
      <c r="F14" s="2" t="inlineStr">
        <is>
          <t xml:space="preserve">1</t>
        </is>
      </c>
    </row>
    <row r="15">
      <c r="A15" s="2" t="inlineStr">
        <is>
          <t xml:space="preserve">RF-121</t>
        </is>
      </c>
      <c r="B15" s="2" t="inlineStr">
        <is>
          <t xml:space="preserve">RF</t>
        </is>
      </c>
      <c r="C15" s="2" t="inlineStr">
        <is>
          <t xml:space="preserve">El PROPONENTE deberá especificar las características técnicas de los dispositivos móviles requeridos.</t>
        </is>
      </c>
      <c r="D15" s="2" t="inlineStr">
        <is>
          <t xml:space="preserve">Hallazgo H-11</t>
        </is>
      </c>
      <c r="E15" s="2" t="inlineStr">
        <is>
          <t xml:space="preserve">OP-07</t>
        </is>
      </c>
      <c r="F15" s="2" t="inlineStr">
        <is>
          <t xml:space="preserve">1</t>
        </is>
      </c>
    </row>
    <row r="16">
      <c r="A16" s="2" t="inlineStr">
        <is>
          <t xml:space="preserve">RF-122</t>
        </is>
      </c>
      <c r="B16" s="2" t="inlineStr">
        <is>
          <t xml:space="preserve">RF</t>
        </is>
      </c>
      <c r="C16" s="2" t="inlineStr">
        <is>
          <t xml:space="preserve">El PROPONENTE deberá presentar el análisis de hacer o comprar con las tres alternativas (incorporar al sistema existente, solución propia, mantener planillas) y su impacto sobre RN-15.</t>
        </is>
      </c>
      <c r="D16" s="2" t="inlineStr">
        <is>
          <t xml:space="preserve">Regla 1 (conjunción); hallazgo H-11</t>
        </is>
      </c>
      <c r="E16" s="2" t="inlineStr">
        <is>
          <t xml:space="preserve">OP-08, OP-09</t>
        </is>
      </c>
      <c r="F16" s="2" t="inlineStr">
        <is>
          <t xml:space="preserve">2</t>
        </is>
      </c>
    </row>
    <row r="17">
      <c r="A17" s="2" t="inlineStr">
        <is>
          <t xml:space="preserve">RF-016A.1</t>
        </is>
      </c>
      <c r="B17" s="2" t="inlineStr">
        <is>
          <t xml:space="preserve">RF</t>
        </is>
      </c>
      <c r="C17" s="2" t="inlineStr">
        <is>
          <t xml:space="preserve">El sistema deberá permitir al vendedor de marketplace declarar y actualizar la existencia de sus referencias en cualquier momento.</t>
        </is>
      </c>
      <c r="D17" s="2" t="inlineStr">
        <is>
          <t xml:space="preserve">Regla 1 (conjunción); Regla 5 (separación RF/RNF)</t>
        </is>
      </c>
      <c r="E17" s="2" t="inlineStr">
        <is>
          <t xml:space="preserve">RF-102, RF-103, RNF-02</t>
        </is>
      </c>
      <c r="F17" s="2" t="inlineStr">
        <is>
          <t xml:space="preserve">3</t>
        </is>
      </c>
    </row>
    <row r="18">
      <c r="A18" s="2" t="inlineStr">
        <is>
          <t xml:space="preserve">RF-038</t>
        </is>
      </c>
      <c r="B18" s="2" t="inlineStr">
        <is>
          <t xml:space="preserve">RF</t>
        </is>
      </c>
      <c r="C18" s="2" t="inlineStr">
        <is>
          <t xml:space="preserve">El sistema deberá permitir al vendedor de marketplace consultar el estado de cada pedido intermediado, sus devoluciones y su evaluación de desempeño.</t>
        </is>
      </c>
      <c r="D18" s="2" t="inlineStr">
        <is>
          <t xml:space="preserve">Regla 1 (conjunción); Regla 3 (testabilidad aislada)</t>
        </is>
      </c>
      <c r="E18" s="2" t="inlineStr">
        <is>
          <t xml:space="preserve">RF-110, RF-111, RF-112</t>
        </is>
      </c>
      <c r="F18" s="2" t="inlineStr">
        <is>
          <t xml:space="preserve">3</t>
        </is>
      </c>
    </row>
    <row r="19">
      <c r="A19" s="2" t="inlineStr">
        <is>
          <t xml:space="preserve">RF-048.1</t>
        </is>
      </c>
      <c r="B19" s="2" t="inlineStr">
        <is>
          <t xml:space="preserve">RF</t>
        </is>
      </c>
      <c r="C19" s="2" t="inlineStr">
        <is>
          <t xml:space="preserve">El sistema deberá identificar visiblemente en el catálogo, la ficha de producto y el proceso de compra quien vende y quien despacha la unidad.</t>
        </is>
      </c>
      <c r="D19" s="2" t="inlineStr">
        <is>
          <t xml:space="preserve">Regla 1 (conjunción); Regla 3 (testabilidad aislada)</t>
        </is>
      </c>
      <c r="E19" s="2" t="inlineStr">
        <is>
          <t xml:space="preserve">RF-113, RF-114</t>
        </is>
      </c>
      <c r="F19" s="2" t="inlineStr">
        <is>
          <t xml:space="preserve">2</t>
        </is>
      </c>
    </row>
    <row r="20">
      <c r="A20" s="2" t="inlineStr">
        <is>
          <t xml:space="preserve">RF-048.2</t>
        </is>
      </c>
      <c r="B20" s="2" t="inlineStr">
        <is>
          <t xml:space="preserve">RF</t>
        </is>
      </c>
      <c r="C20" s="2" t="inlineStr">
        <is>
          <t xml:space="preserve">El sistema deberá mostrar las condiciones de devolución y de garantía legal aplicables a esa unidad.</t>
        </is>
      </c>
      <c r="D20" s="2" t="inlineStr">
        <is>
          <t xml:space="preserve">Regla 1 (conjunción)</t>
        </is>
      </c>
      <c r="E20" s="2" t="inlineStr">
        <is>
          <t xml:space="preserve">RF-115, RF-116</t>
        </is>
      </c>
      <c r="F20" s="2" t="inlineStr">
        <is>
          <t xml:space="preserve">2</t>
        </is>
      </c>
    </row>
    <row r="21">
      <c r="A21" s="2" t="inlineStr">
        <is>
          <t xml:space="preserve">RF-002.5</t>
        </is>
      </c>
      <c r="B21" s="2" t="inlineStr">
        <is>
          <t xml:space="preserve">RF</t>
        </is>
      </c>
      <c r="C21" s="2" t="inlineStr">
        <is>
          <t xml:space="preserve">El sistema deberá permitir registrar el resultado del conteo cíclico sin bloquear la operación de venta de la sala.</t>
        </is>
      </c>
      <c r="D21" s="2" t="inlineStr">
        <is>
          <t xml:space="preserve">Regla 5 (separación RF/RNF)</t>
        </is>
      </c>
      <c r="E21" s="2" t="inlineStr">
        <is>
          <t xml:space="preserve">RF-135, RNF-03</t>
        </is>
      </c>
      <c r="F21" s="2" t="inlineStr">
        <is>
          <t xml:space="preserve">2</t>
        </is>
      </c>
    </row>
    <row r="22">
      <c r="A22" s="2" t="inlineStr">
        <is>
          <t xml:space="preserve">RF-045</t>
        </is>
      </c>
      <c r="B22" s="2" t="inlineStr">
        <is>
          <t xml:space="preserve">RF</t>
        </is>
      </c>
      <c r="C22" s="2" t="inlineStr">
        <is>
          <t xml:space="preserve">El sistema deberá generar un reporte periódico de referencias con atributos incompletos, errores de publicación o publicaciones fallidas, indicando la causa del error.</t>
        </is>
      </c>
      <c r="D22" s="2" t="inlineStr">
        <is>
          <t xml:space="preserve">Regla 1 (conjunción); Regla 3 (testabilidad aislada)</t>
        </is>
      </c>
      <c r="E22" s="2" t="inlineStr">
        <is>
          <t xml:space="preserve">RF-147, RF-148</t>
        </is>
      </c>
      <c r="F22" s="2" t="inlineStr">
        <is>
          <t xml:space="preserve">2</t>
        </is>
      </c>
    </row>
    <row r="23">
      <c r="A23" s="2" t="inlineStr">
        <is>
          <t xml:space="preserve">RF-046.1</t>
        </is>
      </c>
      <c r="B23" s="2" t="inlineStr">
        <is>
          <t xml:space="preserve">RF</t>
        </is>
      </c>
      <c r="C23" s="2" t="inlineStr">
        <is>
          <t xml:space="preserve">El sistema deberá permitir al gerente de logística definir el valor del colchón de confianza por categoría o por punto de existencia.</t>
        </is>
      </c>
      <c r="D23" s="2" t="inlineStr">
        <is>
          <t xml:space="preserve">Regla 1 (conjunción); Regla 3 (testabilidad aislada)</t>
        </is>
      </c>
      <c r="E23" s="2" t="inlineStr">
        <is>
          <t xml:space="preserve">RF-149, RF-150</t>
        </is>
      </c>
      <c r="F23" s="2" t="inlineStr">
        <is>
          <t xml:space="preserve">2</t>
        </is>
      </c>
    </row>
    <row r="24">
      <c r="A24" s="2" t="inlineStr">
        <is>
          <t xml:space="preserve">RF-047.3</t>
        </is>
      </c>
      <c r="B24" s="2" t="inlineStr">
        <is>
          <t xml:space="preserve">RF</t>
        </is>
      </c>
      <c r="C24" s="2" t="inlineStr">
        <is>
          <t xml:space="preserve">El sistema deberá permitir al vendedor de piso confirmar el reingreso de la unidad a sala o su venta.</t>
        </is>
      </c>
      <c r="D24" s="2" t="inlineStr">
        <is>
          <t xml:space="preserve">Regla 1 (conjunción); Regla 3 (testabilidad aislada)</t>
        </is>
      </c>
      <c r="E24" s="2" t="inlineStr">
        <is>
          <t xml:space="preserve">RF-155, RF-156</t>
        </is>
      </c>
      <c r="F24" s="2" t="inlineStr">
        <is>
          <t xml:space="preserve">2</t>
        </is>
      </c>
    </row>
    <row r="25">
      <c r="A25" s="2" t="inlineStr">
        <is>
          <t xml:space="preserve">RF-058</t>
        </is>
      </c>
      <c r="B25" s="2" t="inlineStr">
        <is>
          <t xml:space="preserve">RF</t>
        </is>
      </c>
      <c r="C25" s="2" t="inlineStr">
        <is>
          <t xml:space="preserve">El sistema deberá calcular el porcentaje de error probable de la categoría en función de la categoría y del punto de existencia.</t>
        </is>
      </c>
      <c r="D25" s="2" t="inlineStr">
        <is>
          <t xml:space="preserve">Regla 1 (conjunción); Regla 3 (testabilidad aislada)</t>
        </is>
      </c>
      <c r="E25" s="2" t="inlineStr">
        <is>
          <t xml:space="preserve">RF-158, RF-159</t>
        </is>
      </c>
      <c r="F25" s="2" t="inlineStr">
        <is>
          <t xml:space="preserve">2</t>
        </is>
      </c>
    </row>
    <row r="26">
      <c r="A26" s="2" t="inlineStr">
        <is>
          <t xml:space="preserve">RF-025.4</t>
        </is>
      </c>
      <c r="B26" s="2" t="inlineStr">
        <is>
          <t xml:space="preserve">RF</t>
        </is>
      </c>
      <c r="C26" s="2" t="inlineStr">
        <is>
          <t xml:space="preserve">El sistema deberá permitir al oficial de cumplimiento mantener el inventario de interfaces de cruce declaradas, exigiendo finalidad, base de licitud y autorización nominada por cada interfaz.</t>
        </is>
      </c>
      <c r="D26" s="2" t="inlineStr">
        <is>
          <t xml:space="preserve">Regla 1 (conjunción); Regla 2 (verbo único)</t>
        </is>
      </c>
      <c r="E26" s="2" t="inlineStr">
        <is>
          <t xml:space="preserve">RF-168, RF-169</t>
        </is>
      </c>
      <c r="F26" s="2" t="inlineStr">
        <is>
          <t xml:space="preserve">2</t>
        </is>
      </c>
    </row>
    <row r="27">
      <c r="A27" s="2" t="inlineStr">
        <is>
          <t xml:space="preserve">RF-026.1</t>
        </is>
      </c>
      <c r="B27" s="2" t="inlineStr">
        <is>
          <t xml:space="preserve">RF</t>
        </is>
      </c>
      <c r="C27" s="2" t="inlineStr">
        <is>
          <t xml:space="preserve">El sistema deberá permitir declarar y parametrizar previamente el orden de degradación y los criterios que lo activan.</t>
        </is>
      </c>
      <c r="D27" s="2" t="inlineStr">
        <is>
          <t xml:space="preserve">Regla 1 (conjunción); Regla 2 (verbo único)</t>
        </is>
      </c>
      <c r="E27" s="2" t="inlineStr">
        <is>
          <t xml:space="preserve">RF-177, RF-178</t>
        </is>
      </c>
      <c r="F27" s="2" t="inlineStr">
        <is>
          <t xml:space="preserve">2</t>
        </is>
      </c>
    </row>
    <row r="28">
      <c r="A28" s="2" t="inlineStr">
        <is>
          <t xml:space="preserve">RF-019</t>
        </is>
      </c>
      <c r="B28" s="2" t="inlineStr">
        <is>
          <t xml:space="preserve">RF</t>
        </is>
      </c>
      <c r="C28" s="2" t="inlineStr">
        <is>
          <t xml:space="preserve">El sistema deberá permitir al ejecutivo atender la garantía legal íntegramente en el mesón, sin derivar al cliente al fabricante, al servicio técnico ni al vendedor de marketplace como condición para ser atendido.</t>
        </is>
      </c>
      <c r="D28" s="2" t="inlineStr">
        <is>
          <t xml:space="preserve">Regla 1 (conjunción); Regla 2 (verbo único)</t>
        </is>
      </c>
      <c r="E28" s="2" t="inlineStr">
        <is>
          <t xml:space="preserve">RF-187, RF-188</t>
        </is>
      </c>
      <c r="F28" s="2" t="inlineStr">
        <is>
          <t xml:space="preserve">2</t>
        </is>
      </c>
    </row>
    <row r="29">
      <c r="A29" s="2" t="inlineStr">
        <is>
          <t xml:space="preserve">RF-088</t>
        </is>
      </c>
      <c r="B29" s="2" t="inlineStr">
        <is>
          <t xml:space="preserve">RF</t>
        </is>
      </c>
      <c r="C29" s="2" t="inlineStr">
        <is>
          <t xml:space="preserve">El sistema deberá registrar la opción ofrecida al consumidor y la opción efectivamente elegida por el.</t>
        </is>
      </c>
      <c r="D29" s="2" t="inlineStr">
        <is>
          <t xml:space="preserve">Regla 1 (conjunción); Regla 3 (testabilidad aislada)</t>
        </is>
      </c>
      <c r="E29" s="2" t="inlineStr">
        <is>
          <t xml:space="preserve">RF-193, RF-194</t>
        </is>
      </c>
      <c r="F29" s="2" t="inlineStr">
        <is>
          <t xml:space="preserve">2</t>
        </is>
      </c>
    </row>
    <row r="30">
      <c r="A30" s="2" t="inlineStr">
        <is>
          <t xml:space="preserve">RF-024A</t>
        </is>
      </c>
      <c r="B30" s="2" t="inlineStr">
        <is>
          <t xml:space="preserve">RF</t>
        </is>
      </c>
      <c r="C30" s="2" t="inlineStr">
        <is>
          <t xml:space="preserve">El sistema deberá permitir al ejecutivo de cobranza iniciar y registrar la gestión de cobranza dentro de los límites normativos de horario y medio de contacto.</t>
        </is>
      </c>
      <c r="D30" s="2" t="inlineStr">
        <is>
          <t xml:space="preserve">Regla 1 (conjunción); Regla 2 (verbo único); Regla 3 (testabilidad aislada)</t>
        </is>
      </c>
      <c r="E30" s="2" t="inlineStr">
        <is>
          <t xml:space="preserve">RF-211, RF-212, RF-213</t>
        </is>
      </c>
      <c r="F30" s="2" t="inlineStr">
        <is>
          <t xml:space="preserve">3</t>
        </is>
      </c>
    </row>
    <row r="31">
      <c r="A31" s="2" t="inlineStr">
        <is>
          <t xml:space="preserve">RF-024B</t>
        </is>
      </c>
      <c r="B31" s="2" t="inlineStr">
        <is>
          <t xml:space="preserve">RF</t>
        </is>
      </c>
      <c r="C31" s="2" t="inlineStr">
        <is>
          <t xml:space="preserve">El sistema deberá enlazar el expediente de la repactación con la gestión de cobranza que la originó y con la evidencia de consentimiento de RF-207.</t>
        </is>
      </c>
      <c r="D31" s="2" t="inlineStr">
        <is>
          <t xml:space="preserve">Regla 1 (conjunción); Regla 2 (verbo único)</t>
        </is>
      </c>
      <c r="E31" s="2" t="inlineStr">
        <is>
          <t xml:space="preserve">RF-214, RF-215</t>
        </is>
      </c>
      <c r="F31" s="2" t="inlineStr">
        <is>
          <t xml:space="preserve">2</t>
        </is>
      </c>
    </row>
    <row r="32">
      <c r="A32" s="2" t="inlineStr">
        <is>
          <t xml:space="preserve">NFR-03</t>
        </is>
      </c>
      <c r="B32" s="2" t="inlineStr">
        <is>
          <t xml:space="preserve">RNF</t>
        </is>
      </c>
      <c r="C32" s="2" t="inlineStr">
        <is>
          <t xml:space="preserve">La migración de la cartera de crédito viva no debe generar pérdida de datos, interrupción del servicio de cobro ni divergencia de saldos.</t>
        </is>
      </c>
      <c r="D32" s="2" t="inlineStr">
        <is>
          <t xml:space="preserve">Regla 1 (conjunción); Regla 3 (testabilidad aislada)</t>
        </is>
      </c>
      <c r="E32" s="2" t="inlineStr">
        <is>
          <t xml:space="preserve">RNF-08, RNF-09, RNF-10</t>
        </is>
      </c>
      <c r="F32" s="2" t="inlineStr">
        <is>
          <t xml:space="preserve">3</t>
        </is>
      </c>
    </row>
    <row r="33">
      <c r="A33" s="2" t="inlineStr">
        <is>
          <t xml:space="preserve">NFR-04</t>
        </is>
      </c>
      <c r="B33" s="2" t="inlineStr">
        <is>
          <t xml:space="preserve">RNF</t>
        </is>
      </c>
      <c r="C33" s="2" t="inlineStr">
        <is>
          <t xml:space="preserve">La separación lógica entre los datos del retail y los del negocio financiero debe estar implementada, documentada y verificada por auditoría independiente.</t>
        </is>
      </c>
      <c r="D33" s="2" t="inlineStr">
        <is>
          <t xml:space="preserve">Regla 1 (conjunción); Regla 3 (testabilidad aislada)</t>
        </is>
      </c>
      <c r="E33" s="2" t="inlineStr">
        <is>
          <t xml:space="preserve">RNF-11, RNF-12, RNF-13</t>
        </is>
      </c>
      <c r="F33" s="2" t="inlineStr">
        <is>
          <t xml:space="preserve">3</t>
        </is>
      </c>
    </row>
    <row r="34">
      <c r="A34" s="2" t="inlineStr">
        <is>
          <t xml:space="preserve">NFR-07</t>
        </is>
      </c>
      <c r="B34" s="2" t="inlineStr">
        <is>
          <t xml:space="preserve">RNF</t>
        </is>
      </c>
      <c r="C34" s="2" t="inlineStr">
        <is>
          <t xml:space="preserve">La plataforma debe soportar la concurrencia y el volumen de los dos peaks descritos sin degradar los umbrales de NFR-06.x.</t>
        </is>
      </c>
      <c r="D34" s="2" t="inlineStr">
        <is>
          <t xml:space="preserve">Regla 1 (conjunción); Regla 3 (testabilidad aislada)</t>
        </is>
      </c>
      <c r="E34" s="2" t="inlineStr">
        <is>
          <t xml:space="preserve">RNF-22, RNF-23</t>
        </is>
      </c>
      <c r="F34" s="2" t="inlineStr">
        <is>
          <t xml:space="preserve">2</t>
        </is>
      </c>
    </row>
    <row r="35">
      <c r="A35" s="2" t="inlineStr">
        <is>
          <t xml:space="preserve">NFR-08.3</t>
        </is>
      </c>
      <c r="B35" s="2" t="inlineStr">
        <is>
          <t xml:space="preserve">RNF</t>
        </is>
      </c>
      <c r="C35" s="2" t="inlineStr">
        <is>
          <t xml:space="preserve">La sincronización tras la reconexión no debe superar el plazo definido.</t>
        </is>
      </c>
      <c r="D35" s="2" t="inlineStr">
        <is>
          <t xml:space="preserve">Regla 1 (conjunción); Regla 3 (testabilidad aislada)</t>
        </is>
      </c>
      <c r="E35" s="2" t="inlineStr">
        <is>
          <t xml:space="preserve">RNF-26, RNF-27</t>
        </is>
      </c>
      <c r="F35" s="2" t="inlineStr">
        <is>
          <t xml:space="preserve">2</t>
        </is>
      </c>
    </row>
    <row r="36">
      <c r="A36" s="2" t="inlineStr">
        <is>
          <t xml:space="preserve">NFR-09.2</t>
        </is>
      </c>
      <c r="B36" s="2" t="inlineStr">
        <is>
          <t xml:space="preserve">RNF</t>
        </is>
      </c>
      <c r="C36" s="2" t="inlineStr">
        <is>
          <t xml:space="preserve">El canal digital y los servicios financieros que afectan pagos, estados de cuenta y bloqueo de tarjetas deben estar disponibles de forma continua.</t>
        </is>
      </c>
      <c r="D36" s="2" t="inlineStr">
        <is>
          <t xml:space="preserve">Regla 1 (conjunción); Regla 3 (testabilidad aislada)</t>
        </is>
      </c>
      <c r="E36" s="2" t="inlineStr">
        <is>
          <t xml:space="preserve">RNF-30, RNF-31</t>
        </is>
      </c>
      <c r="F36" s="2" t="inlineStr">
        <is>
          <t xml:space="preserve">2</t>
        </is>
      </c>
    </row>
    <row r="37">
      <c r="A37" s="2" t="inlineStr">
        <is>
          <t xml:space="preserve">NFR-14</t>
        </is>
      </c>
      <c r="B37" s="2" t="inlineStr">
        <is>
          <t xml:space="preserve">RNF</t>
        </is>
      </c>
      <c r="C37" s="2" t="inlineStr">
        <is>
          <t xml:space="preserve">Debe exigirse un mecanismo de consentimiento con integridad verificable, adecuado al canal, en apertura de tarjeta, repactación, conformidad de recepción de mercadería y constancia de devolución.</t>
        </is>
      </c>
      <c r="D37" s="2" t="inlineStr">
        <is>
          <t xml:space="preserve">Regla 1 (conjunción); Regla 3 (testabilidad aislada)</t>
        </is>
      </c>
      <c r="E37" s="2" t="inlineStr">
        <is>
          <t xml:space="preserve">RNF-39, RNF-40</t>
        </is>
      </c>
      <c r="F37" s="2" t="inlineStr">
        <is>
          <t xml:space="preserve">2</t>
        </is>
      </c>
    </row>
    <row r="38">
      <c r="A38" s="2" t="inlineStr">
        <is>
          <t xml:space="preserve">NFR-20</t>
        </is>
      </c>
      <c r="B38" s="2" t="inlineStr">
        <is>
          <t xml:space="preserve">RNF</t>
        </is>
      </c>
      <c r="C38" s="2" t="inlineStr">
        <is>
          <t xml:space="preserve">La solución debe adoptar estándares identificados y justificados para catálogo de producto, intercambio con los 940 proveedores, transportistas de última milla, sincronización con marketplace y documento tributario electrónico.</t>
        </is>
      </c>
      <c r="D38" s="2" t="inlineStr">
        <is>
          <t xml:space="preserve">Regla 1 (conjunción); Regla 3 (testabilidad aislada)</t>
        </is>
      </c>
      <c r="E38" s="2" t="inlineStr">
        <is>
          <t xml:space="preserve">RNF-52, RNF-53, RNF-54, RNF-55, RNF-56</t>
        </is>
      </c>
      <c r="F38" s="2" t="inlineStr">
        <is>
          <t xml:space="preserve">5</t>
        </is>
      </c>
    </row>
    <row r="39">
      <c r="A39" s="2" t="inlineStr">
        <is>
          <t xml:space="preserve">NFR-29</t>
        </is>
      </c>
      <c r="B39" s="2" t="inlineStr">
        <is>
          <t xml:space="preserve">RNF</t>
        </is>
      </c>
      <c r="C39" s="2" t="inlineStr">
        <is>
          <t xml:space="preserve">El tiempo entre la detección de un quiebre y el aviso al cliente no debe superar el objetivo declarado.</t>
        </is>
      </c>
      <c r="D39" s="2" t="inlineStr">
        <is>
          <t xml:space="preserve">Regla 1 (conjunción); Regla 3 (testabilidad aislada)</t>
        </is>
      </c>
      <c r="E39" s="2" t="inlineStr">
        <is>
          <t xml:space="preserve">RNF-64, RNF-65</t>
        </is>
      </c>
      <c r="F39" s="2" t="inlineStr">
        <is>
          <t xml:space="preserve">2</t>
        </is>
      </c>
    </row>
    <row r="40">
      <c r="A40" s="2" t="inlineStr">
        <is>
          <t xml:space="preserve">NFR-30</t>
        </is>
      </c>
      <c r="B40" s="2" t="inlineStr">
        <is>
          <t xml:space="preserve">RNF</t>
        </is>
      </c>
      <c r="C40" s="2" t="inlineStr">
        <is>
          <t xml:space="preserve">La latencia entre la recepción física de una devolución en tienda y la notificacion al vendedor de marketplace no debe superar el objetivo declarado.</t>
        </is>
      </c>
      <c r="D40" s="2" t="inlineStr">
        <is>
          <t xml:space="preserve">Regla 1 (conjunción); Regla 3 (testabilidad aislada)</t>
        </is>
      </c>
      <c r="E40" s="2" t="inlineStr">
        <is>
          <t xml:space="preserve">RNF-66, RNF-67</t>
        </is>
      </c>
      <c r="F40" s="2" t="inlineStr">
        <is>
          <t xml:space="preserve">2</t>
        </is>
      </c>
    </row>
    <row r="41">
      <c r="A41" s="2" t="inlineStr">
        <is>
          <t xml:space="preserve">NFR-34</t>
        </is>
      </c>
      <c r="B41" s="2" t="inlineStr">
        <is>
          <t xml:space="preserve">RNF</t>
        </is>
      </c>
      <c r="C41" s="2" t="inlineStr">
        <is>
          <t xml:space="preserve">El ciclo de desarrollo debe producir SBOM por artefacto y alcanzar el nivel de integridad de cadena de suministro exigido.</t>
        </is>
      </c>
      <c r="D41" s="2" t="inlineStr">
        <is>
          <t xml:space="preserve">Regla 1 (conjunción); Regla 3 (testabilidad aislada)</t>
        </is>
      </c>
      <c r="E41" s="2" t="inlineStr">
        <is>
          <t xml:space="preserve">RNF-70, RNF-71, RNF-72, RNF-73</t>
        </is>
      </c>
      <c r="F41" s="2" t="inlineStr">
        <is>
          <t xml:space="preserve">4</t>
        </is>
      </c>
    </row>
    <row r="42">
      <c r="A42" s="2" t="inlineStr">
        <is>
          <t xml:space="preserve">NFR-35</t>
        </is>
      </c>
      <c r="B42" s="2" t="inlineStr">
        <is>
          <t xml:space="preserve">RNF</t>
        </is>
      </c>
      <c r="C42" s="2" t="inlineStr">
        <is>
          <t xml:space="preserve">El tratamiento de datos personales debe cumplir la Ley 21.719, incluyendo finalidad declarada, base de licitud y registro de actividades de tratamiento.</t>
        </is>
      </c>
      <c r="D42" s="2" t="inlineStr">
        <is>
          <t xml:space="preserve">Regla 1 (conjunción); Regla 3 (testabilidad aislada)</t>
        </is>
      </c>
      <c r="E42" s="2" t="inlineStr">
        <is>
          <t xml:space="preserve">RNF-74, RNF-75, RNF-76</t>
        </is>
      </c>
      <c r="F42" s="2" t="inlineStr">
        <is>
          <t xml:space="preserve">3</t>
        </is>
      </c>
    </row>
    <row r="43">
      <c r="A43" s="2" t="inlineStr">
        <is>
          <t xml:space="preserve"/>
        </is>
      </c>
      <c r="B43" s="2" t="inlineStr">
        <is>
          <t xml:space="preserve"/>
        </is>
      </c>
      <c r="C43" s="2" t="inlineStr">
        <is>
          <t xml:space="preserve"/>
        </is>
      </c>
      <c r="D43" s="2" t="inlineStr">
        <is>
          <t xml:space="preserve"/>
        </is>
      </c>
      <c r="E43" s="2" t="inlineStr">
        <is>
          <t xml:space="preserve">TOTAL</t>
        </is>
      </c>
      <c r="F43" s="2" t="inlineStr">
        <is>
          <t xml:space="preserve">96</t>
        </is>
      </c>
    </row>
  </sheetData>
  <pageMargins left="0.5" right="0.5" top="0.6" bottom="0.6" header="0.3" footer="0.3"/>
  <pageSetup orientation="landscape" fitToWidth="1" fitToHeight="0"/>
</worksheet>
</file>

<file path=xl/worksheets/sheet8.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4.5"/>
  <cols>
    <col min="1" max="1" width="8" customWidth="1"/>
    <col min="2" max="2" width="24" customWidth="1"/>
    <col min="3" max="3" width="60" customWidth="1"/>
    <col min="4" max="4" width="50" customWidth="1"/>
    <col min="5" max="5" width="50" customWidth="1"/>
    <col min="6" max="6" width="24" customWidth="1"/>
  </cols>
  <sheetData>
    <row r="1" ht="28" customHeight="1">
      <c r="A1" s="1" t="inlineStr">
        <is>
          <t xml:space="preserve">ID</t>
        </is>
      </c>
      <c r="B1" s="1" t="inlineStr">
        <is>
          <t xml:space="preserve">Tipo</t>
        </is>
      </c>
      <c r="C1" s="1" t="inlineStr">
        <is>
          <t xml:space="preserve">Descripción del hallazgo</t>
        </is>
      </c>
      <c r="D1" s="1" t="inlineStr">
        <is>
          <t xml:space="preserve">Impacto</t>
        </is>
      </c>
      <c r="E1" s="1" t="inlineStr">
        <is>
          <t xml:space="preserve">Tratamiento aplicado</t>
        </is>
      </c>
      <c r="F1" s="1" t="inlineStr">
        <is>
          <t xml:space="preserve">Estrategia de riesgo (PMBOK 6.ª ed., §11.5.2.2)</t>
        </is>
      </c>
    </row>
    <row r="2">
      <c r="A2" s="2" t="inlineStr">
        <is>
          <t xml:space="preserve">H-16</t>
        </is>
      </c>
      <c r="B2" s="2" t="inlineStr">
        <is>
          <t xml:space="preserve">Requerimiento que no es de software</t>
        </is>
      </c>
      <c r="C2" s="2" t="inlineStr">
        <is>
          <t xml:space="preserve">RF-034, RF-043, RF-120, RF-121 y RF-122 exigen al PROPONENTE especificar y costear, no al sistema ejecutar una función. El hallazgo H-11 de la versión anterior lo detectó pero no lo resolvió: las filas siguieron numeradas como RF.</t>
        </is>
      </c>
      <c r="D2" s="2" t="inlineStr">
        <is>
          <t xml:space="preserve">Nueve obligaciones contractuales contaminaban el catálogo funcional y habrían entrado a la EDT como paquetes de desarrollo.</t>
        </is>
      </c>
      <c r="E2" s="2" t="inlineStr">
        <is>
          <t xml:space="preserve">Reclasificadas a OP-01 a OP-09 y separadas del catálogo funcional. Se verifican documentalmente en la Oferta Técnica y en el Entregable 2 de la Oferta Económica.</t>
        </is>
      </c>
      <c r="F2" s="2" t="inlineStr">
        <is>
          <t xml:space="preserve">Evitar</t>
        </is>
      </c>
    </row>
    <row r="3">
      <c r="A3" s="2" t="inlineStr">
        <is>
          <t xml:space="preserve">H-17</t>
        </is>
      </c>
      <c r="B3" s="2" t="inlineStr">
        <is>
          <t xml:space="preserve">Mezcla de funcionalidad y calidad</t>
        </is>
      </c>
      <c r="C3" s="2" t="inlineStr">
        <is>
          <t xml:space="preserve">RF-042.2 incorporaba el plazo «antes de la apertura de sala» y RF-002.5 incorporaba «sin bloquear la operación de venta»; RF-016A.1 incorporaba «en cualquier momento», que es disponibilidad.</t>
        </is>
      </c>
      <c r="D3" s="2" t="inlineStr">
        <is>
          <t xml:space="preserve">Un fallo del umbral habría sido reportado como defecto funcional, y el umbral no tenía método de verificación asignado.</t>
        </is>
      </c>
      <c r="E3" s="2" t="inlineStr">
        <is>
          <t xml:space="preserve">Se extraen RNF-01, RNF-03 y RNF-02 conforme a la Regla 5, cada uno con su métrica y su método de verificación.</t>
        </is>
      </c>
      <c r="F3" s="2" t="inlineStr">
        <is>
          <t xml:space="preserve">Mitigar</t>
        </is>
      </c>
    </row>
    <row r="4">
      <c r="A4" s="2" t="inlineStr">
        <is>
          <t xml:space="preserve">H-18</t>
        </is>
      </c>
      <c r="B4" s="2" t="inlineStr">
        <is>
          <t xml:space="preserve">Consulta compuesta sobre la frontera de datos</t>
        </is>
      </c>
      <c r="C4" s="2" t="inlineStr">
        <is>
          <t xml:space="preserve">RF-037 unía cuatro consultas del cliente autenticado, dos de ellas (estado de cuenta y documentos) sobre datos de la filial emisora fiscalizada.</t>
        </is>
      </c>
      <c r="D4" s="2" t="inlineStr">
        <is>
          <t xml:space="preserve">Mientras el requerimiento fuera uno solo, era imposible aplicarle un control de cruce distinto a la parte financiera. Agrava el hallazgo H-04 de la versión anterior.</t>
        </is>
      </c>
      <c r="E4" s="2" t="inlineStr">
        <is>
          <t xml:space="preserve">Dividido en RF-067 a RF-070. Las consultas del ámbito financiero quedan sujetas a la resolución de identidad de RF-174 y al registro de cruce de RF-165.</t>
        </is>
      </c>
      <c r="F4" s="2" t="inlineStr">
        <is>
          <t xml:space="preserve">Mitigar</t>
        </is>
      </c>
    </row>
    <row r="5">
      <c r="A5" s="2" t="inlineStr">
        <is>
          <t xml:space="preserve">H-19</t>
        </is>
      </c>
      <c r="B5" s="2" t="inlineStr">
        <is>
          <t xml:space="preserve">Requerimientos no confirmados por el equipo</t>
        </is>
      </c>
      <c r="C5" s="2" t="inlineStr">
        <is>
          <t xml:space="preserve">Nueve filas conservan «??» en la columna de revisión: RF-001, RF-018, RF-028, RF-120, RF-170, RF-176, RF-160, RF-181 y RF-183.</t>
        </is>
      </c>
      <c r="D5" s="2" t="inlineStr">
        <is>
          <t xml:space="preserve">Son requerimientos vigentes en el catálogo sin decisión formal de aceptación; dos de ellos (RF-160 y RF-028) tienen impacto directo sobre lo que se publica al consumidor.</t>
        </is>
      </c>
      <c r="E5" s="2" t="inlineStr">
        <is>
          <t xml:space="preserve">Se listan como pendientes de resolución en el período de consultas. Hasta su confirmación se mantienen en el catálogo con la marca de no validados.</t>
        </is>
      </c>
      <c r="F5" s="2" t="inlineStr">
        <is>
          <t xml:space="preserve">Aceptar (activa)</t>
        </is>
      </c>
    </row>
    <row r="6">
      <c r="A6" s="2" t="inlineStr">
        <is>
          <t xml:space="preserve">H-20</t>
        </is>
      </c>
      <c r="B6" s="2" t="inlineStr">
        <is>
          <t xml:space="preserve">Referencia normativa incorrecta</t>
        </is>
      </c>
      <c r="C6" s="2" t="inlineStr">
        <is>
          <t xml:space="preserve">RF-002 cita el requisito RT-11.10 del Capítulo 15 como origen. Ese requisito trata del cifrado a nivel de campo, no del control de acceso. La observación ya estaba anotada en el catálogo v2.1 y no se corrigió.</t>
        </is>
      </c>
      <c r="D6" s="2" t="inlineStr">
        <is>
          <t xml:space="preserve">Una cita de origen incorrecta invalida la verificación de trazabilidad que la Comisión de Expertos aplicará al catálogo.</t>
        </is>
      </c>
      <c r="E6" s="2" t="inlineStr">
        <is>
          <t xml:space="preserve">Se propone sustituir la cita por RT-12.11 (autenticación en el perfil operacional), que es el requisito aplicable a terminales compartidas y credenciales individuales.</t>
        </is>
      </c>
      <c r="F6" s="2" t="inlineStr">
        <is>
          <t xml:space="preserve">Evitar</t>
        </is>
      </c>
    </row>
    <row r="7">
      <c r="A7" s="2" t="inlineStr">
        <is>
          <t xml:space="preserve">H-21</t>
        </is>
      </c>
      <c r="B7" s="2" t="inlineStr">
        <is>
          <t xml:space="preserve">Indicador de negocio catalogado como atributo de calidad</t>
        </is>
      </c>
      <c r="C7" s="2" t="inlineStr">
        <is>
          <t xml:space="preserve">RNF-61, RNF-62 y RNF-63 expresan metas de negocio (tasa de cancelación, cumplimiento de la promesa y exactitud de inventario), no atributos de calidad del software.</t>
        </is>
      </c>
      <c r="D7" s="2" t="inlineStr">
        <is>
          <t xml:space="preserve">Son criterios de aceptación del Capítulo 18 del caso. Catalogados como RNF, el ADJUDICATARIO queda comprometido a un resultado que depende también de la operación del CLIENTE.</t>
        </is>
      </c>
      <c r="E7" s="2" t="inlineStr">
        <is>
          <t xml:space="preserve">Se conservan por su valor contractual, marcados como efectividad de negocio. Se recomienda declarar explícitamente en la Oferta Técnica qué parte del indicador depende de la solución y qué parte de la operación del CLIENTE.</t>
        </is>
      </c>
      <c r="F7" s="2" t="inlineStr">
        <is>
          <t xml:space="preserve">Transferir</t>
        </is>
      </c>
    </row>
    <row r="8">
      <c r="A8" s="2" t="inlineStr">
        <is>
          <t xml:space="preserve">H-22</t>
        </is>
      </c>
      <c r="B8" s="2" t="inlineStr">
        <is>
          <t xml:space="preserve">Dimensión de cálculo no desagregada</t>
        </is>
      </c>
      <c r="C8" s="2" t="inlineStr">
        <is>
          <t xml:space="preserve">RF-058 calculaba el error probable en función de la categoría y del punto de existencia en un solo enunciado, mientras que el colchón de confianza sí estaba desagregado en RF-128 y RF-129.</t>
        </is>
      </c>
      <c r="D8" s="2" t="inlineStr">
        <is>
          <t xml:space="preserve">Inconsistencia de criterio dentro del propio catálogo: dos cálculos equivalentes atomizados con distinto grado de detalle.</t>
        </is>
      </c>
      <c r="E8" s="2" t="inlineStr">
        <is>
          <t xml:space="preserve">Dividido en RF-158 y RF-159 para alinearlo con el criterio ya aplicado al colchón.</t>
        </is>
      </c>
      <c r="F8" s="2" t="inlineStr">
        <is>
          <t xml:space="preserve">Mitigar</t>
        </is>
      </c>
    </row>
    <row r="9">
      <c r="A9" s="2" t="inlineStr">
        <is>
          <t xml:space="preserve">Los hallazgos H-01 a H-15 de la versión 2.1 se mantienen vigentes y no se reproducen aquí. Esta hoja recoge únicamente lo detectado en la auditoría de atomicidad.</t>
        </is>
      </c>
      <c r="B9" s="2" t="inlineStr">
        <is>
          <t xml:space="preserve"/>
        </is>
      </c>
      <c r="C9" s="2" t="inlineStr">
        <is>
          <t xml:space="preserve"/>
        </is>
      </c>
      <c r="D9" s="2" t="inlineStr">
        <is>
          <t xml:space="preserve"/>
        </is>
      </c>
      <c r="E9" s="2" t="inlineStr">
        <is>
          <t xml:space="preserve"/>
        </is>
      </c>
      <c r="F9" s="2" t="inlineStr">
        <is>
          <t xml:space="preserve"/>
        </is>
      </c>
    </row>
  </sheetData>
  <pageMargins left="0.5" right="0.5" top="0.6" bottom="0.6" header="0.3" footer="0.3"/>
  <pageSetup orientation="landscape" fitToWidth="1" fitToHeight="0"/>
</worksheet>
</file>

<file path=xl/worksheets/sheet9.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4.5"/>
  <cols>
    <col min="1" max="1" width="6" customWidth="1"/>
    <col min="2" max="2" width="120" customWidth="1"/>
  </cols>
  <sheetData>
    <row r="1" ht="22" customHeight="1">
      <c r="A1" s="1" t="inlineStr">
        <is>
          <t xml:space="preserve">N.º</t>
        </is>
      </c>
      <c r="B1" s="1" t="inlineStr">
        <is>
          <t xml:space="preserve">Pendiente</t>
        </is>
      </c>
    </row>
    <row r="2">
      <c r="A2" s="4">
        <v>1</v>
      </c>
      <c r="B2" s="2" t="inlineStr">
        <is>
          <t xml:space="preserve">Abastecimiento (3 RF), comisiones (3) y cartera de crédito (6) tienen pocos requerimientos funcionales. Se completa al llenar el Formulario T-12. Los cinco del servicio de clientes Retail son propuestos.</t>
        </is>
      </c>
    </row>
    <row r="3">
      <c r="A3" s="4">
        <v>2</v>
      </c>
      <c r="B3" s="2" t="inlineStr">
        <is>
          <t xml:space="preserve">Faltan requerimientos para imputación de pagos (RN-42), derecho de retracto (Caso 16.1 n.º 22), gastos de cobranza, disponibilidad publicada en 30 s o menos (RT-05.29), hora de corte de las 07:00, exactitud de inventario diaria y enlace de respaldo en 14 tiendas y Coyhaique (RT-03.24). No se inventaron.</t>
        </is>
      </c>
    </row>
    <row r="4">
      <c r="A4" s="4">
        <v>3</v>
      </c>
      <c r="B4" s="2" t="inlineStr">
        <is>
          <t xml:space="preserve">RNF-05 conserva «POR DEFINIR (propuesta: 30 s)» frente al «tiempo real» del Caso.</t>
        </is>
      </c>
    </row>
    <row r="5">
      <c r="A5" s="4">
        <v>4</v>
      </c>
      <c r="B5" s="2" t="inlineStr">
        <is>
          <t xml:space="preserve">Resolver SUP-08 («cobrar el menor») y SUP-09 (propagación del precio): afecta a RF-023, RF-028 y RNF-19.</t>
        </is>
      </c>
    </row>
    <row r="6">
      <c r="A6" s="4">
        <v>5</v>
      </c>
      <c r="B6" s="2" t="inlineStr">
        <is>
          <t xml:space="preserve">Referencias obsoletas del catálogo previo: RF-160 y RF-161 citan «RF-058» (hoy RF-158 y RF-159), RF-183 cita «RF-026.1» (hoy RF-177 y RF-178), RNF-22 y RNF-23 citan «NFR-06.x» (hoy RNF-16 a RNF-21).</t>
        </is>
      </c>
    </row>
    <row r="7">
      <c r="A7" s="4">
        <v>6</v>
      </c>
      <c r="B7" s="2" t="inlineStr">
        <is>
          <t xml:space="preserve">RN-39 y RN-53 no tienen origen ni criterio de aceptación. RN-07 no existe en el registro original.</t>
        </is>
      </c>
    </row>
    <row r="8">
      <c r="A8" s="4">
        <v>7</v>
      </c>
      <c r="B8" s="2" t="inlineStr">
        <is>
          <t xml:space="preserve">Nueve filas con «??» sin confirmar (hallazgo H-19) y 16 supuestos por umbrales ausentes: se validan con el cliente al inicio del proyecto.</t>
        </is>
      </c>
    </row>
    <row r="9">
      <c r="A9" s="4">
        <v>8</v>
      </c>
      <c r="B9" s="2" t="inlineStr">
        <is>
          <t xml:space="preserve">El capítulo 2 (Tabla 2.6) cuenta RNF-61 a RNF-63 como RNF y dice «≥ 8 h en tienda»; aclarar que la propuesta compromete 24 horas.</t>
        </is>
      </c>
    </row>
    <row r="10">
      <c r="A10" s="4">
        <v>9</v>
      </c>
      <c r="B10" s="2" t="inlineStr">
        <is>
          <t xml:space="preserve">La ubicación de RF-180 y RF-181 (evento anual) se confirma en la arquitectura y en el plan de riesgos.</t>
        </is>
      </c>
    </row>
    <row r="11">
      <c r="A11" s="4">
        <v>10</v>
      </c>
      <c r="B11" s="2" t="inlineStr">
        <is>
          <t xml:space="preserve">Columnas del Caso 17.1 (precondición, resultado esperado, origen en el Caso por requerimiento) y matriz de trazabilidad completa: viven en el Formulario T-12.</t>
        </is>
      </c>
    </row>
    <row r="12">
      <c r="A12" s="4">
        <v>11</v>
      </c>
      <c r="B12" s="2" t="inlineStr">
        <is>
          <t xml:space="preserve">Verificar que ningún requisito de transición (migración de datos, capacitación, marcha blanca) quede huérfano (FEP02 · 18).</t>
        </is>
      </c>
    </row>
  </sheetData>
  <pageMargins left="0.5" right="0.5" top="0.6" bottom="0.6" header="0.3" footer="0.3"/>
  <pageSetup orientation="landscape" fitToWidth="1" fitToHeight="0"/>
</worksheet>
</file>

<file path=xl/worksheets/sheet10.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4.5"/>
  <cols>
    <col min="1" max="1" width="6" customWidth="1"/>
    <col min="2" max="2" width="52" customWidth="1"/>
    <col min="3" max="3" width="36" customWidth="1"/>
    <col min="4" max="4" width="48" customWidth="1"/>
    <col min="5" max="5" width="30" customWidth="1"/>
    <col min="6" max="6" width="26" customWidth="1"/>
    <col min="7" max="7" width="52" customWidth="1"/>
    <col min="8" max="8" width="14" customWidth="1"/>
  </cols>
  <sheetData>
    <row r="1" ht="28" customHeight="1">
      <c r="A1" s="1" t="inlineStr">
        <is>
          <t xml:space="preserve">N.º</t>
        </is>
      </c>
      <c r="B1" s="1" t="inlineStr">
        <is>
          <t xml:space="preserve">Resultado esperado</t>
        </is>
      </c>
      <c r="C1" s="1" t="inlineStr">
        <is>
          <t xml:space="preserve">Línea base</t>
        </is>
      </c>
      <c r="D1" s="1" t="inlineStr">
        <is>
          <t xml:space="preserve">Meta</t>
        </is>
      </c>
      <c r="E1" s="1" t="inlineStr">
        <is>
          <t xml:space="preserve">Servicio</t>
        </is>
      </c>
      <c r="F1" s="1" t="inlineStr">
        <is>
          <t xml:space="preserve">Se alcanza</t>
        </is>
      </c>
      <c r="G1" s="1" t="inlineStr">
        <is>
          <t xml:space="preserve">Evidencia</t>
        </is>
      </c>
      <c r="H1" s="1" t="inlineStr">
        <is>
          <t xml:space="preserve">Responsabilidad</t>
        </is>
      </c>
    </row>
    <row r="2">
      <c r="A2" s="4">
        <v>1</v>
      </c>
      <c r="B2" s="2" t="inlineStr">
        <is>
          <t xml:space="preserve">El disponible que se publica incorpora el error conocido del registro y se calcula por categoría y por punto.</t>
        </is>
      </c>
      <c r="C2" s="2" t="inlineStr">
        <is>
          <t xml:space="preserve">Suma de existencias menos un descuento fijo definido en 2019.</t>
        </is>
      </c>
      <c r="D2" s="2" t="inlineStr">
        <is>
          <t xml:space="preserve">Cálculo dinámico por categoría y punto (Caso, cap. 7), con tolerancia respecto del conteo por fijar al inicio del proyecto (propuesta del proponente).</t>
        </is>
      </c>
      <c r="E2" s="2" t="inlineStr">
        <is>
          <t xml:space="preserve">Servicio de existencias</t>
        </is>
      </c>
      <c r="F2" s="2" t="inlineStr">
        <is>
          <t xml:space="preserve">Mes 16, con despliegue gradual por categorías</t>
        </is>
      </c>
      <c r="G2" s="2" t="inlineStr">
        <is>
          <t xml:space="preserve">Prueba del cálculo del disponible con el colchón de confianza por categoría y punto (RF-127 a RF-129).</t>
        </is>
      </c>
      <c r="H2" s="2" t="inlineStr">
        <is>
          <t xml:space="preserve">Proponente, con firma de la Contraparte Técnica</t>
        </is>
      </c>
    </row>
    <row r="3">
      <c r="A3" s="4">
        <v>2</v>
      </c>
      <c r="B3" s="2" t="inlineStr">
        <is>
          <t xml:space="preserve">Los pedidos cancelados por falta de existencia bajan al umbral comprometido, también durante el evento anual.</t>
        </is>
      </c>
      <c r="C3" s="2" t="inlineStr">
        <is>
          <t xml:space="preserve">1,9 % en el año, 2,7 % en el evento y 2.840 casos en 3 días.</t>
        </is>
      </c>
      <c r="D3" s="2" t="inlineStr">
        <is>
          <t xml:space="preserve">Bajo 0,3 % al año y cero cancelaciones por falta de existencia durante el evento (Caso, cap. 7). Reclasificado desde RNF-61. Mes 16, solo categorías con existencias en producción, medida sin meta de cero. Mes 21, con pedidos, meta completa.</t>
        </is>
      </c>
      <c r="E3" s="2" t="inlineStr">
        <is>
          <t xml:space="preserve">Servicios de existencias y de pedidos</t>
        </is>
      </c>
      <c r="F3" s="2" t="inlineStr">
        <is>
          <t xml:space="preserve">Mes 16 con existencias y primer evento anual posterior al mes 21 con pedidos</t>
        </is>
      </c>
      <c r="G3" s="2" t="inlineStr">
        <is>
          <t xml:space="preserve">Medición mensual de las cancelaciones y medición en cada evento anual. La parte de la solución son las cancelaciones por falta de existencia o por disponible mal calculado. La parte del cliente son las cancelaciones por preparación de pedidos en tienda y centro de distribución.</t>
        </is>
      </c>
      <c r="H3" s="2" t="inlineStr">
        <is>
          <t xml:space="preserve">Compartida entre el proponente y el cliente, con firma de la Contraparte Técnica</t>
        </is>
      </c>
    </row>
    <row r="4">
      <c r="A4" s="4">
        <v>3</v>
      </c>
      <c r="B4" s="2" t="inlineStr">
        <is>
          <t xml:space="preserve">Ningún cliente es cobrado por una unidad que la compañía no puede entregar.</t>
        </is>
      </c>
      <c r="C4" s="2" t="inlineStr">
        <is>
          <t xml:space="preserve">Se cobró y se devolvió ocho días después.</t>
        </is>
      </c>
      <c r="D4" s="2" t="inlineStr">
        <is>
          <t xml:space="preserve">Cero casos (propuesta del proponente).</t>
        </is>
      </c>
      <c r="E4" s="2" t="inlineStr">
        <is>
          <t xml:space="preserve">Servicios de pedidos y de existencias</t>
        </is>
      </c>
      <c r="F4" s="2" t="inlineStr">
        <is>
          <t xml:space="preserve">Mes 21</t>
        </is>
      </c>
      <c r="G4" s="2" t="inlineStr">
        <is>
          <t xml:space="preserve">Auditoría de los pedidos con cobro capturado sobre un pedido no cumplible (RNF-65).</t>
        </is>
      </c>
      <c r="H4" s="2" t="inlineStr">
        <is>
          <t xml:space="preserve">Proponente, con firma de la Contraparte Técnica</t>
        </is>
      </c>
    </row>
    <row r="5">
      <c r="A5" s="4">
        <v>4</v>
      </c>
      <c r="B5" s="2" t="inlineStr">
        <is>
          <t xml:space="preserve">La exactitud del inventario se mide de forma continua y por categoría, contando sin cerrar la tienda.</t>
        </is>
      </c>
      <c r="C5" s="2" t="inlineStr">
        <is>
          <t xml:space="preserve">Conteo cíclico con 12,4 % de diferencia y sin desglose.</t>
        </is>
      </c>
      <c r="D5" s="2" t="inlineStr">
        <is>
          <t xml:space="preserve">Diferencia de conteo bajo 2 % (Caso, cap. 7). Reclasificado desde RNF-63.</t>
        </is>
      </c>
      <c r="E5" s="2" t="inlineStr">
        <is>
          <t xml:space="preserve">Servicio de existencias</t>
        </is>
      </c>
      <c r="F5" s="2" t="inlineStr">
        <is>
          <t xml:space="preserve">Mes 16 con despliegue gradual por tienda y categoría, y mes 21 en las 22 tiendas</t>
        </is>
      </c>
      <c r="G5" s="2" t="inlineStr">
        <is>
          <t xml:space="preserve">Conteo cíclico por categoría sin cerrar la tienda (RF-131 y RF-135) y exactitud diaria por categoría (RT-05.29). La parte de la solución es el registro y el cálculo de la exactitud. La parte del cliente es la ejecución del conteo en sala según la frecuencia acordada.</t>
        </is>
      </c>
      <c r="H5" s="2" t="inlineStr">
        <is>
          <t xml:space="preserve">Compartida entre el proponente y el cliente, con firma de la Contraparte Técnica</t>
        </is>
      </c>
    </row>
    <row r="6">
      <c r="A6" s="4">
        <v>5</v>
      </c>
      <c r="B6" s="2" t="inlineStr">
        <is>
          <t xml:space="preserve">La merma está separada en sus causas: pérdida física, daño, error de recepción, devolución mal reintegrada y error de digitación.</t>
        </is>
      </c>
      <c r="C6" s="2" t="inlineStr">
        <is>
          <t xml:space="preserve">Merma de 1,9 % de la venta, $ 7.800 millones al año, tratada como un solo problema.</t>
        </is>
      </c>
      <c r="D6" s="2" t="inlineStr">
        <is>
          <t xml:space="preserve">100 % de los ajustes con causa (propuesta del proponente) y merma bajo 1 % (Caso, cap. 7).</t>
        </is>
      </c>
      <c r="E6" s="2" t="inlineStr">
        <is>
          <t xml:space="preserve">Servicio de existencias</t>
        </is>
      </c>
      <c r="F6" s="2" t="inlineStr">
        <is>
          <t xml:space="preserve">Mes 21</t>
        </is>
      </c>
      <c r="G6" s="2" t="inlineStr">
        <is>
          <t xml:space="preserve">Informe mensual de merma por causa, cuya suma de componentes es igual al total (RN-12 y RF-138).</t>
        </is>
      </c>
      <c r="H6" s="2" t="inlineStr">
        <is>
          <t xml:space="preserve">Proponente, con firma de la Contraparte Técnica</t>
        </is>
      </c>
    </row>
    <row r="7">
      <c r="A7" s="4">
        <v>6</v>
      </c>
      <c r="B7" s="2" t="inlineStr">
        <is>
          <t xml:space="preserve">Un cambio de precio llega a las cajas, al canal digital y a la sala dentro del plazo comprometido.</t>
        </is>
      </c>
      <c r="C7" s="2" t="inlineStr">
        <is>
          <t xml:space="preserve">Cajas y sitio en minutos y etiqueta hasta 24 horas después.</t>
        </is>
      </c>
      <c r="D7" s="2" t="inlineStr">
        <is>
          <t xml:space="preserve">5 minutos o menos en cajas y canal digital (RT-09.01). En sala, por definir con la política de precios en sala.</t>
        </is>
      </c>
      <c r="E7" s="2" t="inlineStr">
        <is>
          <t xml:space="preserve">Servicio de oferta comercial</t>
        </is>
      </c>
      <c r="F7" s="2" t="inlineStr">
        <is>
          <t xml:space="preserve">Mes 16</t>
        </is>
      </c>
      <c r="G7" s="2" t="inlineStr">
        <is>
          <t xml:space="preserve">Medición de la latencia de propagación por destino (RNF-19).</t>
        </is>
      </c>
      <c r="H7" s="2" t="inlineStr">
        <is>
          <t xml:space="preserve">Proponente, con firma de la Contraparte Técnica</t>
        </is>
      </c>
    </row>
    <row r="8">
      <c r="A8" s="4">
        <v>7</v>
      </c>
      <c r="B8" s="2" t="inlineStr">
        <is>
          <t xml:space="preserve">La compañía sabe, en todo momento, cuántos puntos de exhibición están desactualizados y cuáles.</t>
        </is>
      </c>
      <c r="C8" s="2" t="inlineStr">
        <is>
          <t xml:space="preserve">No existe registro de qué etiqueta se cambió ni cuándo.</t>
        </is>
      </c>
      <c r="D8" s="2" t="inlineStr">
        <is>
          <t xml:space="preserve">100 % de los puntos con estado registrado (propuesta del proponente).</t>
        </is>
      </c>
      <c r="E8" s="2" t="inlineStr">
        <is>
          <t xml:space="preserve">Servicio de oferta comercial</t>
        </is>
      </c>
      <c r="F8" s="2" t="inlineStr">
        <is>
          <t xml:space="preserve">Mes 16</t>
        </is>
      </c>
      <c r="G8" s="2" t="inlineStr">
        <is>
          <t xml:space="preserve">Indicador diario de puntos de exhibición desactualizados (RF-029).</t>
        </is>
      </c>
      <c r="H8" s="2" t="inlineStr">
        <is>
          <t xml:space="preserve">Proponente, con firma de la Contraparte Técnica</t>
        </is>
      </c>
    </row>
    <row r="9">
      <c r="A9" s="4">
        <v>8</v>
      </c>
      <c r="B9" s="2" t="inlineStr">
        <is>
          <t xml:space="preserve">Se puede acreditar qué precio estaba publicado en cada canal en un instante determinado.</t>
        </is>
      </c>
      <c r="C9" s="2" t="inlineStr">
        <is>
          <t xml:space="preserve">Inexistente. No se puede responder ni a favor ni en contra.</t>
        </is>
      </c>
      <c r="D9" s="2" t="inlineStr">
        <is>
          <t xml:space="preserve">Recuperación en 1 minuto o menos sobre una ventana de tres años (propuesta del proponente, RNF-44 y RNF-58).</t>
        </is>
      </c>
      <c r="E9" s="2" t="inlineStr">
        <is>
          <t xml:space="preserve">Servicio de oferta comercial</t>
        </is>
      </c>
      <c r="F9" s="2" t="inlineStr">
        <is>
          <t xml:space="preserve">Mes 16</t>
        </is>
      </c>
      <c r="G9" s="2" t="inlineStr">
        <is>
          <t xml:space="preserve">Consulta del precio publicado por fecha, hora y canal (RNF-58).</t>
        </is>
      </c>
      <c r="H9" s="2" t="inlineStr">
        <is>
          <t xml:space="preserve">Proponente, con firma de la Contraparte Técnica</t>
        </is>
      </c>
    </row>
    <row r="10">
      <c r="A10" s="4">
        <v>9</v>
      </c>
      <c r="B10" s="2" t="inlineStr">
        <is>
          <t xml:space="preserve">El precio cobrado es el precio exhibido, verificado por muestreo propio y no por fiscalización externa.</t>
        </is>
      </c>
      <c r="C10" s="2" t="inlineStr">
        <is>
          <t xml:space="preserve">11 % de discrepancia en la fiscalización de febrero.</t>
        </is>
      </c>
      <c r="D10" s="2" t="inlineStr">
        <is>
          <t xml:space="preserve">0,5 % o menos, verificado por muestreo propio (propuesta del proponente). La política de precios en sala está pendiente (supuestos SUP-08 y SUP-09).</t>
        </is>
      </c>
      <c r="E10" s="2" t="inlineStr">
        <is>
          <t xml:space="preserve">Servicios de oferta comercial y de ventas</t>
        </is>
      </c>
      <c r="F10" s="2" t="inlineStr">
        <is>
          <t xml:space="preserve">Mes 16</t>
        </is>
      </c>
      <c r="G10" s="2" t="inlineStr">
        <is>
          <t xml:space="preserve">Muestreo propio de precios cobrados y exhibidos por tienda. La parte de la solución es el precio publicado en cajas y canal digital. La parte del cliente es la etiqueta de sala en la tienda.</t>
        </is>
      </c>
      <c r="H10" s="2" t="inlineStr">
        <is>
          <t xml:space="preserve">Compartida entre el proponente y el cliente, con firma de la Contraparte Técnica</t>
        </is>
      </c>
    </row>
    <row r="11">
      <c r="A11" s="4">
        <v>10</v>
      </c>
      <c r="B11" s="2" t="inlineStr">
        <is>
          <t xml:space="preserve">Un pedido tiene un estado único, consultable por el cliente, la tienda, el mesón, el centro de distribución y el vendedor externo.</t>
        </is>
      </c>
      <c r="C11" s="2" t="inlineStr">
        <is>
          <t xml:space="preserve">Cada canal ve un estado distinto y el mesón no ve los pedidos en línea.</t>
        </is>
      </c>
      <c r="D11" s="2" t="inlineStr">
        <is>
          <t xml:space="preserve">Estado único y consistente en todos los canales (RT-05.29).</t>
        </is>
      </c>
      <c r="E11" s="2" t="inlineStr">
        <is>
          <t xml:space="preserve">Servicio de pedidos</t>
        </is>
      </c>
      <c r="F11" s="2" t="inlineStr">
        <is>
          <t xml:space="preserve">Mes 21</t>
        </is>
      </c>
      <c r="G11" s="2" t="inlineStr">
        <is>
          <t xml:space="preserve">Auditoría cruzada del estado del pedido entre canales (RF-052 y RNF-04).</t>
        </is>
      </c>
      <c r="H11" s="2" t="inlineStr">
        <is>
          <t xml:space="preserve">Proponente, con firma de la Contraparte Técnica</t>
        </is>
      </c>
    </row>
    <row r="12">
      <c r="A12" s="4">
        <v>11</v>
      </c>
      <c r="B12" s="2" t="inlineStr">
        <is>
          <t xml:space="preserve">La decisión del punto de despacho considera el costo total y el efecto sobre la sala de venta.</t>
        </is>
      </c>
      <c r="C12" s="2" t="inlineStr">
        <is>
          <t xml:space="preserve">Se decide por distancia.</t>
        </is>
      </c>
      <c r="D12" s="2" t="inlineStr">
        <is>
          <t xml:space="preserve">100 % de las asignaciones con costo total (propuesta del proponente).</t>
        </is>
      </c>
      <c r="E12" s="2" t="inlineStr">
        <is>
          <t xml:space="preserve">Servicio de pedidos</t>
        </is>
      </c>
      <c r="F12" s="2" t="inlineStr">
        <is>
          <t xml:space="preserve">Mes 21</t>
        </is>
      </c>
      <c r="G12" s="2" t="inlineStr">
        <is>
          <t xml:space="preserve">Registro del costo total en cada asignación de despacho (RF-076 y RF-077).</t>
        </is>
      </c>
      <c r="H12" s="2" t="inlineStr">
        <is>
          <t xml:space="preserve">Proponente, con firma de la Contraparte Técnica</t>
        </is>
      </c>
    </row>
    <row r="13">
      <c r="A13" s="4">
        <v>12</v>
      </c>
      <c r="B13" s="2" t="inlineStr">
        <is>
          <t xml:space="preserve">La tienda que entrega una unidad para un pedido de otro canal recibe el reconocimiento correspondiente.</t>
        </is>
      </c>
      <c r="C13" s="2" t="inlineStr">
        <is>
          <t xml:space="preserve">Inexistente. La unidad a veces no aparece.</t>
        </is>
      </c>
      <c r="D13" s="2" t="inlineStr">
        <is>
          <t xml:space="preserve">100 % de los despachos desde tienda atribuidos (propuesta del proponente).</t>
        </is>
      </c>
      <c r="E13" s="2" t="inlineStr">
        <is>
          <t xml:space="preserve">Servicio de comisiones</t>
        </is>
      </c>
      <c r="F13" s="2" t="inlineStr">
        <is>
          <t xml:space="preserve">Mes 21</t>
        </is>
      </c>
      <c r="G13" s="2" t="inlineStr">
        <is>
          <t xml:space="preserve">Registro de la atribución de cada despacho (RF-071, con la base de comisión de RF-054 y RF-055).</t>
        </is>
      </c>
      <c r="H13" s="2" t="inlineStr">
        <is>
          <t xml:space="preserve">Proponente, con firma de la Contraparte Técnica</t>
        </is>
      </c>
    </row>
    <row r="14">
      <c r="A14" s="4">
        <v>13</v>
      </c>
      <c r="B14" s="2" t="inlineStr">
        <is>
          <t xml:space="preserve">La devolución de un producto de marketplace tiene un procedimiento definido y el vendedor externo se entera cuando ocurre.</t>
        </is>
      </c>
      <c r="C14" s="2" t="inlineStr">
        <is>
          <t xml:space="preserve">No hay regla escrita. El vendedor se entera en la liquidación.</t>
        </is>
      </c>
      <c r="D14" s="2" t="inlineStr">
        <is>
          <t xml:space="preserve">Aviso al vendedor en 15 minutos o menos en cada devolución (propuesta del proponente, RNF-66).</t>
        </is>
      </c>
      <c r="E14" s="2" t="inlineStr">
        <is>
          <t xml:space="preserve">Servicios de marketplace y de posventa</t>
        </is>
      </c>
      <c r="F14" s="2" t="inlineStr">
        <is>
          <t xml:space="preserve">Mes 21</t>
        </is>
      </c>
      <c r="G14" s="2" t="inlineStr">
        <is>
          <t xml:space="preserve">Registro del aviso al vendedor por cada devolución (RNF-66).</t>
        </is>
      </c>
      <c r="H14" s="2" t="inlineStr">
        <is>
          <t xml:space="preserve">Proponente, con firma de la Contraparte Técnica</t>
        </is>
      </c>
    </row>
    <row r="15">
      <c r="A15" s="4">
        <v>14</v>
      </c>
      <c r="B15" s="2" t="inlineStr">
        <is>
          <t xml:space="preserve">Los 310 vendedores de marketplace se evalúan con reglas que ellos conocen y que tienen consecuencia.</t>
        </is>
      </c>
      <c r="C15" s="2" t="inlineStr">
        <is>
          <t xml:space="preserve">No hay acuerdo de nivel de servicio medido.</t>
        </is>
      </c>
      <c r="D15" s="2" t="inlineStr">
        <is>
          <t xml:space="preserve">100 % de los vendedores con nivel de servicio medido (propuesta del proponente).</t>
        </is>
      </c>
      <c r="E15" s="2" t="inlineStr">
        <is>
          <t xml:space="preserve">Servicio de marketplace</t>
        </is>
      </c>
      <c r="F15" s="2" t="inlineStr">
        <is>
          <t xml:space="preserve">Mes 21 y renovación anual de los acuerdos</t>
        </is>
      </c>
      <c r="G15" s="2" t="inlineStr">
        <is>
          <t xml:space="preserve">Informe mensual del nivel de servicio de cada vendedor, con las reglas conocidas por ellos (propuesta del proponente, RF-105, RF-112 y RF-119).</t>
        </is>
      </c>
      <c r="H15" s="2" t="inlineStr">
        <is>
          <t xml:space="preserve">Proponente, con firma de la Contraparte Técnica</t>
        </is>
      </c>
    </row>
    <row r="16">
      <c r="A16" s="4">
        <v>15</v>
      </c>
      <c r="B16" s="2" t="inlineStr">
        <is>
          <t xml:space="preserve">La garantía legal se resuelve en el mesón sin derivar al cliente al fabricante ni al vendedor externo.</t>
        </is>
      </c>
      <c r="C16" s="2" t="inlineStr">
        <is>
          <t xml:space="preserve">El proceso completo consiste en derivar.</t>
        </is>
      </c>
      <c r="D16" s="2" t="inlineStr">
        <is>
          <t xml:space="preserve">Cero derivaciones (restricción 7 del Caso).</t>
        </is>
      </c>
      <c r="E16" s="2" t="inlineStr">
        <is>
          <t xml:space="preserve">Servicio de posventa</t>
        </is>
      </c>
      <c r="F16" s="2" t="inlineStr">
        <is>
          <t xml:space="preserve">Mes 21</t>
        </is>
      </c>
      <c r="G16" s="2" t="inlineStr">
        <is>
          <t xml:space="preserve">Programa de cliente oculto en las 22 tiendas (RNF-69). La parte de la solución es la herramienta de garantía en el mesón. La parte del cliente es la atención del mesón sin derivar.</t>
        </is>
      </c>
      <c r="H16" s="2" t="inlineStr">
        <is>
          <t xml:space="preserve">Compartida entre el proponente y el cliente, con firma de la Contraparte Técnica</t>
        </is>
      </c>
    </row>
    <row r="17">
      <c r="A17" s="4">
        <v>16</v>
      </c>
      <c r="B17" s="2" t="inlineStr">
        <is>
          <t xml:space="preserve">La evaluación crediticia en el punto de venta se resuelve en el umbral comprometido.</t>
        </is>
      </c>
      <c r="C17" s="2" t="inlineStr">
        <is>
          <t xml:space="preserve">Entre 40 segundos y 3 minutos.</t>
        </is>
      </c>
      <c r="D17" s="2" t="inlineStr">
        <is>
          <t xml:space="preserve">8 segundos o menos (RT-09.01 y RNF-06).</t>
        </is>
      </c>
      <c r="E17" s="2" t="inlineStr">
        <is>
          <t xml:space="preserve">Servicio de originación de crédito</t>
        </is>
      </c>
      <c r="F17" s="2" t="inlineStr">
        <is>
          <t xml:space="preserve">Mes 16</t>
        </is>
      </c>
      <c r="G17" s="2" t="inlineStr">
        <is>
          <t xml:space="preserve">Medición de extremo a extremo en el punto de venta (RNF-06).</t>
        </is>
      </c>
      <c r="H17" s="2" t="inlineStr">
        <is>
          <t xml:space="preserve">Proponente, con firma de la Contraparte Técnica</t>
        </is>
      </c>
    </row>
    <row r="18">
      <c r="A18" s="4">
        <v>17</v>
      </c>
      <c r="B18" s="2" t="inlineStr">
        <is>
          <t xml:space="preserve">Queda registro estructurado de qué información precontractual se entregó, en qué versión y antes de la aceptación.</t>
        </is>
      </c>
      <c r="C18" s="2" t="inlineStr">
        <is>
          <t xml:space="preserve">Una firma en un formulario que se archiva.</t>
        </is>
      </c>
      <c r="D18" s="2" t="inlineStr">
        <is>
          <t xml:space="preserve">Registro trazable por operación (Caso, cap. 7).</t>
        </is>
      </c>
      <c r="E18" s="2" t="inlineStr">
        <is>
          <t xml:space="preserve">Servicio de evidencia financiera</t>
        </is>
      </c>
      <c r="F18" s="2" t="inlineStr">
        <is>
          <t xml:space="preserve">Mes 16</t>
        </is>
      </c>
      <c r="G18" s="2" t="inlineStr">
        <is>
          <t xml:space="preserve">Registro de la versión, el instante y el medio de entrega por operación (RF-200 a RF-204).</t>
        </is>
      </c>
      <c r="H18" s="2" t="inlineStr">
        <is>
          <t xml:space="preserve">Proponente, con firma de la Contraparte Técnica</t>
        </is>
      </c>
    </row>
    <row r="19">
      <c r="A19" s="4">
        <v>18</v>
      </c>
      <c r="B19" s="2" t="inlineStr">
        <is>
          <t xml:space="preserve">Ninguna repactación puede registrarse sin evidencia recuperable del consentimiento informado.</t>
        </is>
      </c>
      <c r="C19" s="2" t="inlineStr">
        <is>
          <t xml:space="preserve">1.240 casos de 2025 sin evidencia recuperable.</t>
        </is>
      </c>
      <c r="D19" s="2" t="inlineStr">
        <is>
          <t xml:space="preserve">Cero repactaciones sin evidencia (Caso, cap. 7).</t>
        </is>
      </c>
      <c r="E19" s="2" t="inlineStr">
        <is>
          <t xml:space="preserve">Servicios de cartera de crédito y de evidencia financiera</t>
        </is>
      </c>
      <c r="F19" s="2" t="inlineStr">
        <is>
          <t xml:space="preserve">Mes 16 para los actos nuevos y mes 21 con la cartera migrada</t>
        </is>
      </c>
      <c r="G19" s="2" t="inlineStr">
        <is>
          <t xml:space="preserve">Prueba de bloqueo de una repactación sin evidencia y auditoría de los actos del período.</t>
        </is>
      </c>
      <c r="H19" s="2" t="inlineStr">
        <is>
          <t xml:space="preserve">Proponente, con firma de la Contraparte Técnica</t>
        </is>
      </c>
    </row>
    <row r="20">
      <c r="A20" s="4">
        <v>19</v>
      </c>
      <c r="B20" s="2" t="inlineStr">
        <is>
          <t xml:space="preserve">La evidencia del consentimiento se conserva y se recupera por el plazo del crédito y el período posterior exigido.</t>
        </is>
      </c>
      <c r="C20" s="2" t="inlineStr">
        <is>
          <t xml:space="preserve">Grabaciones conservadas 90 días.</t>
        </is>
      </c>
      <c r="D20" s="2" t="inlineStr">
        <is>
          <t xml:space="preserve">Plazo del crédito más seis años, con recuperación a diez años en 5 minutos o menos (propuesta del proponente, RNF-42, RNF-43 y RNF-57).</t>
        </is>
      </c>
      <c r="E20" s="2" t="inlineStr">
        <is>
          <t xml:space="preserve">Servicio de evidencia financiera</t>
        </is>
      </c>
      <c r="F20" s="2" t="inlineStr">
        <is>
          <t xml:space="preserve">Mes 16</t>
        </is>
      </c>
      <c r="G20" s="2" t="inlineStr">
        <is>
          <t xml:space="preserve">Simulacro de requerimiento de la autoridad fiscalizadora (RNF-57).</t>
        </is>
      </c>
      <c r="H20" s="2" t="inlineStr">
        <is>
          <t xml:space="preserve">Proponente, con firma de la Contraparte Técnica</t>
        </is>
      </c>
    </row>
    <row r="21">
      <c r="A21" s="4">
        <v>20</v>
      </c>
      <c r="B21" s="2" t="inlineStr">
        <is>
          <t xml:space="preserve">El cumplimiento de la entrega de información no depende de la voluntad del vendedor: el proceso impide omitirla.</t>
        </is>
      </c>
      <c r="C21" s="2" t="inlineStr">
        <is>
          <t xml:space="preserve">Depende de que el vendedor tenga tiempo.</t>
        </is>
      </c>
      <c r="D21" s="2" t="inlineStr">
        <is>
          <t xml:space="preserve">El proceso impide aceptar un crédito sin la información (propuesta del proponente).</t>
        </is>
      </c>
      <c r="E21" s="2" t="inlineStr">
        <is>
          <t xml:space="preserve">Servicios de originación de crédito y de evidencia financiera</t>
        </is>
      </c>
      <c r="F21" s="2" t="inlineStr">
        <is>
          <t xml:space="preserve">Mes 16</t>
        </is>
      </c>
      <c r="G21" s="2" t="inlineStr">
        <is>
          <t xml:space="preserve">Prueba negativa: el intento de aceptar sin la información completa es rechazado (RF-199 y RF-206).</t>
        </is>
      </c>
      <c r="H21" s="2" t="inlineStr">
        <is>
          <t xml:space="preserve">Proponente, con firma de la Contraparte Técnica</t>
        </is>
      </c>
    </row>
    <row r="22">
      <c r="A22" s="4">
        <v>21</v>
      </c>
      <c r="B22" s="2" t="inlineStr">
        <is>
          <t xml:space="preserve">La separación entre los datos del retail y los de la filial emisora está implementada, documentada y auditada.</t>
        </is>
      </c>
      <c r="C22" s="2" t="inlineStr">
        <is>
          <t xml:space="preserve">Parcial y no documentada.</t>
        </is>
      </c>
      <c r="D22" s="2" t="inlineStr">
        <is>
          <t xml:space="preserve">Implementada y documentada (Caso, cap. 7), con cero hallazgos críticos o altos en la prueba de penetración (propuesta del proponente).</t>
        </is>
      </c>
      <c r="E22" s="2" t="inlineStr">
        <is>
          <t xml:space="preserve">Servicio de control de cruces</t>
        </is>
      </c>
      <c r="F22" s="2" t="inlineStr">
        <is>
          <t xml:space="preserve">Mes 16</t>
        </is>
      </c>
      <c r="G22" s="2" t="inlineStr">
        <is>
          <t xml:space="preserve">Informe técnico de separación y prueba de penetración (RNF-11 y RNF-14).</t>
        </is>
      </c>
      <c r="H22" s="2" t="inlineStr">
        <is>
          <t xml:space="preserve">Proponente, con firma de la Contraparte Técnica</t>
        </is>
      </c>
    </row>
    <row r="23">
      <c r="A23" s="4">
        <v>22</v>
      </c>
      <c r="B23" s="2" t="inlineStr">
        <is>
          <t xml:space="preserve">Todo cruce de información entre ambos ámbitos queda registrado con su finalidad, su base y su autorización.</t>
        </is>
      </c>
      <c r="C23" s="2" t="inlineStr">
        <is>
          <t xml:space="preserve">No existe registro de cruces.</t>
        </is>
      </c>
      <c r="D23" s="2" t="inlineStr">
        <is>
          <t xml:space="preserve">100 % de los cruces registrados (RF-165).</t>
        </is>
      </c>
      <c r="E23" s="2" t="inlineStr">
        <is>
          <t xml:space="preserve">Servicio de control de cruces</t>
        </is>
      </c>
      <c r="F23" s="2" t="inlineStr">
        <is>
          <t xml:space="preserve">Mes 16</t>
        </is>
      </c>
      <c r="G23" s="2" t="inlineStr">
        <is>
          <t xml:space="preserve">Auditoría trimestral del registro de cruces sobre una muestra de cruces, a cargo del encargado de cumplimiento del cliente (propuesta del proponente, RF-165).</t>
        </is>
      </c>
      <c r="H23" s="2" t="inlineStr">
        <is>
          <t xml:space="preserve">Proponente, con firma de la Contraparte Técnica</t>
        </is>
      </c>
    </row>
    <row r="24">
      <c r="A24" s="4">
        <v>23</v>
      </c>
      <c r="B24" s="2" t="inlineStr">
        <is>
          <t xml:space="preserve">Los hitos del plan de remediación instruido por la autoridad se cumplen antes de 2029.</t>
        </is>
      </c>
      <c r="C24" s="2" t="inlineStr">
        <is>
          <t xml:space="preserve">En curso, con el último hito en 2029.</t>
        </is>
      </c>
      <c r="D24" s="2" t="inlineStr">
        <is>
          <t xml:space="preserve">Cumplidos antes de 2029 (Caso, cap. 7), es decir, a más tardar en el mes 24 del proyecto.</t>
        </is>
      </c>
      <c r="E24" s="2" t="inlineStr">
        <is>
          <t xml:space="preserve">Servicios de originación de crédito, de cartera de crédito y de evidencia financiera</t>
        </is>
      </c>
      <c r="F24" s="2" t="inlineStr">
        <is>
          <t xml:space="preserve">Operación, a más tardar en el mes 24</t>
        </is>
      </c>
      <c r="G24" s="2" t="inlineStr">
        <is>
          <t xml:space="preserve">Informe de cumplimiento por hito emitido por el proponente, que respalda el acta de la autoridad.</t>
        </is>
      </c>
      <c r="H24" s="2" t="inlineStr">
        <is>
          <t xml:space="preserve">Proponente, con firma de la Contraparte Técnica</t>
        </is>
      </c>
    </row>
    <row r="25">
      <c r="A25" s="4">
        <v>24</v>
      </c>
      <c r="B25" s="2" t="inlineStr">
        <is>
          <t xml:space="preserve">La cartera de 620.000 clientes con saldo migra sin pérdida, sin interrupción y sin divergencia de saldos.</t>
        </is>
      </c>
      <c r="C25" s="2" t="inlineStr">
        <is>
          <t xml:space="preserve">Plataforma de 2011 con fin de soporte en 2029.</t>
        </is>
      </c>
      <c r="D25" s="2" t="inlineStr">
        <is>
          <t xml:space="preserve">Cero diferencias sin explicar (restricción 8 del Caso).</t>
        </is>
      </c>
      <c r="E25" s="2" t="inlineStr">
        <is>
          <t xml:space="preserve">Servicio de cartera de crédito</t>
        </is>
      </c>
      <c r="F25" s="2" t="inlineStr">
        <is>
          <t xml:space="preserve">Mes 16 (primera parte) y mes 21 (segunda parte)</t>
        </is>
      </c>
      <c r="G25" s="2" t="inlineStr">
        <is>
          <t xml:space="preserve">Conciliación diaria de saldos por tramo, con registro de las diferencias y su explicación (restricción 8 del Caso).</t>
        </is>
      </c>
      <c r="H25" s="2" t="inlineStr">
        <is>
          <t xml:space="preserve">Proponente, con firma de la Contraparte Técnica</t>
        </is>
      </c>
    </row>
    <row r="26">
      <c r="A26" s="4">
        <v>25</v>
      </c>
      <c r="B26" s="2" t="inlineStr">
        <is>
          <t xml:space="preserve">El evento anual se enfrenta con una estrategia de degradación definida y con capacidad de suspender la publicación de una categoría.</t>
        </is>
      </c>
      <c r="C26" s="2" t="inlineStr">
        <is>
          <t xml:space="preserve">Se improvisó durante el evento.</t>
        </is>
      </c>
      <c r="D26" s="2" t="inlineStr">
        <is>
          <t xml:space="preserve">Orden de degradación declarado y probado (propuesta del proponente) y 104.000 pedidos en tres días (RNF-22).</t>
        </is>
      </c>
      <c r="E26" s="2" t="inlineStr">
        <is>
          <t xml:space="preserve">Base tecnológica y servicios de existencias y de pedidos</t>
        </is>
      </c>
      <c r="F26" s="2" t="inlineStr">
        <is>
          <t xml:space="preserve">Mes 16 para el orden de degradación y mes 21 para la prueba de carga completa</t>
        </is>
      </c>
      <c r="G26" s="2" t="inlineStr">
        <is>
          <t xml:space="preserve">En el mes 16, ensayo del orden de degradación y de la suspensión de publicación de una categoría. En el mes 21, prueba de carga de 104.000 pedidos en tres días (RNF-22).</t>
        </is>
      </c>
      <c r="H26" s="2" t="inlineStr">
        <is>
          <t xml:space="preserve">Proponente, con firma de la Contraparte Técnica</t>
        </is>
      </c>
    </row>
    <row r="27">
      <c r="A27" s="4">
        <v>26</v>
      </c>
      <c r="B27" s="2" t="inlineStr">
        <is>
          <t xml:space="preserve">Doña Paula sabe en qué estado está su pedido sin llamar cinco veces y, si la unidad no existe, se le avisa antes de cobrarle.</t>
        </is>
      </c>
      <c r="C27" s="2" t="inlineStr">
        <is>
          <t xml:space="preserve">Cumplimiento de la promesa de entrega en 81 %. Cinco conversaciones y nadie supo decirle qué pasó.</t>
        </is>
      </c>
      <c r="D27" s="2" t="inlineStr">
        <is>
          <t xml:space="preserve">Aviso previo al cobro (RT-16.21) y cumplimiento de la fecha de entrega sobre 97 % (Caso, cap. 7). Reclasificado desde RNF-62.</t>
        </is>
      </c>
      <c r="E27" s="2" t="inlineStr">
        <is>
          <t xml:space="preserve">Servicios de pedidos y de existencias</t>
        </is>
      </c>
      <c r="F27" s="2" t="inlineStr">
        <is>
          <t xml:space="preserve">Mes 21</t>
        </is>
      </c>
      <c r="G27" s="2" t="inlineStr">
        <is>
          <t xml:space="preserve">Auditoría del estado único y de los avisos previos al cobro (RF-047, RF-051 y RF-052), contrastada con los contactos entrantes por el mismo caso. La parte de la solución es el estado y el aviso. La parte del cliente es el cumplimiento físico de la entrega.</t>
        </is>
      </c>
      <c r="H27" s="2" t="inlineStr">
        <is>
          <t xml:space="preserve">Compartida entre el proponente y el cliente, con firma de la Contraparte Técnica</t>
        </is>
      </c>
    </row>
    <row r="28">
      <c r="A28" s="4">
        <v>27</v>
      </c>
      <c r="B28" s="2" t="inlineStr">
        <is>
          <t xml:space="preserve">Doña Marisol puede demostrar qué parte de la diferencia de su tienda es pérdida física y qué parte es error de registro.</t>
        </is>
      </c>
      <c r="C28" s="2" t="inlineStr">
        <is>
          <t xml:space="preserve">Todo se anota como merma y a ella se la mide por eso.</t>
        </is>
      </c>
      <c r="D28" s="2" t="inlineStr">
        <is>
          <t xml:space="preserve">100 % de las diferencias de su tienda con causa atribuida (propuesta del proponente).</t>
        </is>
      </c>
      <c r="E28" s="2" t="inlineStr">
        <is>
          <t xml:space="preserve">Servicio de existencias</t>
        </is>
      </c>
      <c r="F28" s="2" t="inlineStr">
        <is>
          <t xml:space="preserve">Mes 21</t>
        </is>
      </c>
      <c r="G28" s="2" t="inlineStr">
        <is>
          <t xml:space="preserve">Revisión del informe mensual de merma con una jefatura de tienda.</t>
        </is>
      </c>
      <c r="H28" s="2" t="inlineStr">
        <is>
          <t xml:space="preserve">Proponente, con firma de la Contraparte Técnica</t>
        </is>
      </c>
    </row>
    <row r="29">
      <c r="A29" s="4">
        <v>28</v>
      </c>
      <c r="B29" s="2" t="inlineStr">
        <is>
          <t xml:space="preserve">Don Jonathan abre una tarjeta más rápido que hoy y el cliente recibe la información completa, sin que una cosa dependa de la otra.</t>
        </is>
      </c>
      <c r="C29" s="2" t="inlineStr">
        <is>
          <t xml:space="preserve">Tres minutos, y la información se entrega como se puede.</t>
        </is>
      </c>
      <c r="D29" s="2" t="inlineStr">
        <is>
          <t xml:space="preserve">8 segundos o menos en la evaluación y la información obligatoria antes de aceptar.</t>
        </is>
      </c>
      <c r="E29" s="2" t="inlineStr">
        <is>
          <t xml:space="preserve">Servicios de originación de crédito y de evidencia financiera</t>
        </is>
      </c>
      <c r="F29" s="2" t="inlineStr">
        <is>
          <t xml:space="preserve">Mes 16</t>
        </is>
      </c>
      <c r="G29" s="2" t="inlineStr">
        <is>
          <t xml:space="preserve">Medición comparada del tiempo de apertura y auditoría de la constancia de entrega.</t>
        </is>
      </c>
      <c r="H29" s="2" t="inlineStr">
        <is>
          <t xml:space="preserve">Proponente, con firma de la Contraparte Técnica</t>
        </is>
      </c>
    </row>
  </sheetData>
  <pageMargins left="0.5" right="0.5" top="0.6" bottom="0.6" header="0.3" footer="0.3"/>
  <pageSetup orientation="landscape" fitToWidth="1" fitToHeight="0"/>
</worksheet>
</file>